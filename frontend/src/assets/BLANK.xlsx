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vmcProjects\eTeacherProfiling\frontend\src\assets\"/>
    </mc:Choice>
  </mc:AlternateContent>
  <xr:revisionPtr revIDLastSave="0" documentId="13_ncr:1_{4442A513-0DFB-4263-93E8-F5347A41F670}" xr6:coauthVersionLast="47" xr6:coauthVersionMax="47" xr10:uidLastSave="{00000000-0000-0000-0000-000000000000}"/>
  <bookViews>
    <workbookView xWindow="-44280" yWindow="-120" windowWidth="15600" windowHeight="11040" activeTab="3" xr2:uid="{EE122CDF-5466-4600-AA56-B1A00DFD46BA}"/>
  </bookViews>
  <sheets>
    <sheet name="DV" sheetId="2" r:id="rId1"/>
    <sheet name="PO" sheetId="3" r:id="rId2"/>
    <sheet name="CANVASS" sheetId="4" r:id="rId3"/>
    <sheet name="PR-A&amp;m" sheetId="5" r:id="rId4"/>
    <sheet name="AOQ" sheetId="6" r:id="rId5"/>
    <sheet name="IAR" sheetId="7" r:id="rId6"/>
    <sheet name="RIS" sheetId="8" r:id="rId7"/>
  </sheets>
  <externalReferences>
    <externalReference r:id="rId8"/>
    <externalReference r:id="rId9"/>
  </externalReferences>
  <definedNames>
    <definedName name="list">[1]TB!$A:$A</definedName>
    <definedName name="_xlnm.Print_Area" localSheetId="4">AOQ!$A$1:$G$47</definedName>
    <definedName name="_xlnm.Print_Area" localSheetId="0">DV!$A$1:$L$67</definedName>
    <definedName name="_xlnm.Print_Area" localSheetId="1">PO!$A$1:$F$63</definedName>
    <definedName name="_xlnm.Print_Area" localSheetId="3">'PR-A&amp;m'!$A$1:$G$37</definedName>
    <definedName name="_xlnm.Print_Area" localSheetId="6">RIS!$A$1:$H$37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A16" i="7" s="1"/>
  <c r="A17" i="7" s="1"/>
  <c r="A18" i="7" s="1"/>
  <c r="A19" i="7" s="1"/>
  <c r="A20" i="7" s="1"/>
  <c r="A21" i="7" s="1"/>
  <c r="A22" i="7" s="1"/>
  <c r="A14" i="7"/>
  <c r="C30" i="6"/>
  <c r="F27" i="6"/>
  <c r="D26" i="6"/>
  <c r="C26" i="6"/>
  <c r="B26" i="6"/>
  <c r="D25" i="6"/>
  <c r="C25" i="6"/>
  <c r="B25" i="6"/>
  <c r="D24" i="6"/>
  <c r="C24" i="6"/>
  <c r="B24" i="6"/>
  <c r="D23" i="6"/>
  <c r="C23" i="6"/>
  <c r="G23" i="6" s="1"/>
  <c r="B23" i="6"/>
  <c r="A23" i="6"/>
  <c r="A24" i="6" s="1"/>
  <c r="A25" i="6" s="1"/>
  <c r="A26" i="6" s="1"/>
  <c r="A11" i="6"/>
  <c r="A12" i="6" s="1"/>
  <c r="A13" i="6" s="1"/>
  <c r="A14" i="6" s="1"/>
  <c r="A15" i="6" s="1"/>
  <c r="A16" i="6" s="1"/>
  <c r="A17" i="6" s="1"/>
  <c r="A18" i="6" s="1"/>
  <c r="A19" i="6" s="1"/>
  <c r="E28" i="6"/>
  <c r="C30" i="5"/>
  <c r="E7" i="5"/>
  <c r="A41" i="4"/>
  <c r="G37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F41" i="3"/>
  <c r="F59" i="3" s="1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C17" i="3"/>
  <c r="F25" i="6" l="1"/>
  <c r="F23" i="6"/>
  <c r="F26" i="6"/>
  <c r="G26" i="6"/>
  <c r="F24" i="6"/>
  <c r="G24" i="6"/>
  <c r="G25" i="6"/>
  <c r="G28" i="5"/>
  <c r="G66" i="2"/>
  <c r="I62" i="2"/>
  <c r="K66" i="2" s="1"/>
  <c r="H50" i="2"/>
  <c r="H49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K33" i="2"/>
  <c r="K51" i="2" s="1"/>
  <c r="H33" i="2"/>
  <c r="N20" i="2"/>
  <c r="F28" i="6" l="1"/>
  <c r="G28" i="6"/>
  <c r="E24" i="2"/>
  <c r="L49" i="2"/>
  <c r="B62" i="2"/>
  <c r="D66" i="2" s="1"/>
  <c r="K19" i="2" l="1"/>
  <c r="L24" i="2" s="1"/>
  <c r="L50" i="2"/>
  <c r="Q50" i="2"/>
  <c r="R50" i="2" s="1"/>
  <c r="L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Jerwin Metilla</author>
  </authors>
  <commentList>
    <comment ref="A3" authorId="0" shapeId="0" xr:uid="{976E05F2-B910-4FDF-8295-8F16358DD763}">
      <text>
        <r>
          <rPr>
            <b/>
            <sz val="9"/>
            <rFont val="Tahoma"/>
            <family val="2"/>
          </rPr>
          <t>ZHARMAINE:
**EDIT SCHOOL &amp; SCHOOL ID NO</t>
        </r>
        <r>
          <rPr>
            <sz val="9"/>
            <rFont val="Tahoma"/>
            <family val="2"/>
          </rPr>
          <t xml:space="preserve">
</t>
        </r>
      </text>
    </comment>
    <comment ref="K6" authorId="0" shapeId="0" xr:uid="{B42980C8-470C-4CFF-9790-B3DC20CAA41A}">
      <text>
        <r>
          <rPr>
            <b/>
            <sz val="9"/>
            <rFont val="Tahoma"/>
            <family val="2"/>
          </rPr>
          <t>ZHARMAINE:
1. DV NO &amp; DATE
2. PAYEE &amp; ADDRESS</t>
        </r>
        <r>
          <rPr>
            <sz val="9"/>
            <rFont val="Tahoma"/>
            <family val="2"/>
          </rPr>
          <t xml:space="preserve">
</t>
        </r>
      </text>
    </comment>
    <comment ref="K7" authorId="0" shapeId="0" xr:uid="{3EDD5D46-76C6-4807-AE42-C83AEEF6739C}">
      <text>
        <r>
          <rPr>
            <b/>
            <sz val="9"/>
            <rFont val="Tahoma"/>
            <family val="2"/>
          </rPr>
          <t>ZHARMAINE:
If the transaction is reimbursement, ONLY the Disbursement Voucher DATE is change to the month of the LIQUIDATION on or after receiving or encashing the check</t>
        </r>
      </text>
    </comment>
    <comment ref="K17" authorId="0" shapeId="0" xr:uid="{AA763F42-3AA6-4083-8677-120040C4F76A}">
      <text>
        <r>
          <rPr>
            <b/>
            <sz val="9"/>
            <rFont val="Tahoma"/>
            <family val="2"/>
          </rPr>
          <t>ZHARMAINE:
** To PAYMENT if the transaction is AFTER getting and encashing the check
** To REIMBURSE if the transaction is BEFORE the MOOE check</t>
        </r>
        <r>
          <rPr>
            <sz val="9"/>
            <rFont val="Tahoma"/>
            <family val="2"/>
          </rPr>
          <t xml:space="preserve">
</t>
        </r>
      </text>
    </comment>
    <comment ref="E22" authorId="1" shapeId="0" xr:uid="{EA65B6BF-4A99-41A6-937F-B2F35710C967}">
      <text>
        <r>
          <rPr>
            <b/>
            <sz val="9"/>
            <color indexed="81"/>
            <rFont val="Tahoma"/>
            <family val="2"/>
          </rPr>
          <t>Jerwin Metilla
don’t round off
calcu the 5% and 1%</t>
        </r>
      </text>
    </comment>
    <comment ref="L27" authorId="0" shapeId="0" xr:uid="{6F52A41B-643A-42EC-A288-A7ABAFBF9647}">
      <text>
        <r>
          <rPr>
            <b/>
            <sz val="9"/>
            <rFont val="Tahoma"/>
            <family val="2"/>
          </rPr>
          <t>ZHARMAINE:
**SIGNATORIES**
-SCHOOL HEAD (2)
-DISBURSING OFFICER
-RECEIVER</t>
        </r>
        <r>
          <rPr>
            <sz val="9"/>
            <rFont val="Tahoma"/>
            <family val="2"/>
          </rPr>
          <t xml:space="preserve">
</t>
        </r>
      </text>
    </comment>
    <comment ref="L40" authorId="0" shapeId="0" xr:uid="{D03A0648-92B7-425F-9922-CECA70167794}">
      <text>
        <r>
          <rPr>
            <b/>
            <sz val="9"/>
            <rFont val="Tahoma"/>
            <family val="2"/>
          </rPr>
          <t>ZHARMAINE:
**ACCOUNTING ENTRIES**
EXPENSES (ALWAYS GROSS, DEBIT)
DUE TO BIR (ALWAYS CREDIT)
ADVANCES FOR OPERATING EXPENSES ( ALWAYS CREDIT)
***TOTAL DEBIT = TOTAL CREDIT***</t>
        </r>
      </text>
    </comment>
  </commentList>
</comments>
</file>

<file path=xl/sharedStrings.xml><?xml version="1.0" encoding="utf-8"?>
<sst xmlns="http://schemas.openxmlformats.org/spreadsheetml/2006/main" count="264" uniqueCount="206">
  <si>
    <t>Republic of the Philippines</t>
  </si>
  <si>
    <t>Department of Education</t>
  </si>
  <si>
    <t>NAGUILIAN ELEMENTARY SCHOOL</t>
  </si>
  <si>
    <t>SCHOOL ID: 102733</t>
  </si>
  <si>
    <t>DISBURSEMENT VOUCHER</t>
  </si>
  <si>
    <t>Fund Source: 101101</t>
  </si>
  <si>
    <t>Mode of</t>
  </si>
  <si>
    <t>Payment</t>
  </si>
  <si>
    <t xml:space="preserve">                                   MDSCheck                                  Commercial Check                                             ADA                                               Others</t>
  </si>
  <si>
    <t>CHECK</t>
  </si>
  <si>
    <t>Payee/Office:</t>
  </si>
  <si>
    <t>TIN/Employee No.:</t>
  </si>
  <si>
    <t xml:space="preserve">OS/BUS No. </t>
  </si>
  <si>
    <t>Date:</t>
  </si>
  <si>
    <t>Address</t>
  </si>
  <si>
    <t>BULALA, CAMALANIUGAN, CAGAYAN</t>
  </si>
  <si>
    <t>Particulars</t>
  </si>
  <si>
    <t>Responsibility Center</t>
  </si>
  <si>
    <t>MFO/PAP</t>
  </si>
  <si>
    <t>Amount</t>
  </si>
  <si>
    <t>To Payment of the following expenses</t>
  </si>
  <si>
    <t>TOTAL</t>
  </si>
  <si>
    <t>Amount Due</t>
  </si>
  <si>
    <t>Php</t>
  </si>
  <si>
    <r>
      <t xml:space="preserve">A.  Certified: </t>
    </r>
    <r>
      <rPr>
        <sz val="10"/>
        <rFont val="Calibri"/>
        <family val="2"/>
      </rPr>
      <t xml:space="preserve">  Expenses/Cash Advance necessary, lawful and incurred under my direct supervision</t>
    </r>
  </si>
  <si>
    <t>JUDY S. MOLINA</t>
  </si>
  <si>
    <t>PRINCIPAL II</t>
  </si>
  <si>
    <t>B. Accounting Entry</t>
  </si>
  <si>
    <t>Responsibility</t>
  </si>
  <si>
    <t>Accounts and Explanation</t>
  </si>
  <si>
    <t>Account Conde</t>
  </si>
  <si>
    <t>Debit</t>
  </si>
  <si>
    <t>Credit</t>
  </si>
  <si>
    <t>Center</t>
  </si>
  <si>
    <t>Office Supplies Expenses</t>
  </si>
  <si>
    <t>Training  Expenses</t>
  </si>
  <si>
    <t>Fuel, Oil &amp; Lubricants Expenses</t>
  </si>
  <si>
    <t>Other Supplies and Materials Expenses</t>
  </si>
  <si>
    <t>Electricity Expenses</t>
  </si>
  <si>
    <t>Telephone Expenses</t>
  </si>
  <si>
    <t>Internet Subscription Expenses</t>
  </si>
  <si>
    <t>Janitorial Services</t>
  </si>
  <si>
    <t>Security Services</t>
  </si>
  <si>
    <t>Fidelity Bond Premiums</t>
  </si>
  <si>
    <t>Repairs &amp; Maintenance -Power Supply System</t>
  </si>
  <si>
    <t xml:space="preserve"> </t>
  </si>
  <si>
    <t>Repairs &amp; Maintenance -Other Structures</t>
  </si>
  <si>
    <t>Labor and Wages</t>
  </si>
  <si>
    <t>Semi-Expendable Expenses Office Equipment</t>
  </si>
  <si>
    <t>Due to BIR</t>
  </si>
  <si>
    <t>Advances For Operating Expenses</t>
  </si>
  <si>
    <r>
      <t xml:space="preserve">     </t>
    </r>
    <r>
      <rPr>
        <b/>
        <sz val="10"/>
        <rFont val="Calibri"/>
        <family val="2"/>
      </rPr>
      <t>C.    Certified:</t>
    </r>
  </si>
  <si>
    <r>
      <t xml:space="preserve">    </t>
    </r>
    <r>
      <rPr>
        <b/>
        <sz val="10"/>
        <rFont val="Calibri"/>
        <family val="2"/>
      </rPr>
      <t xml:space="preserve"> D.    Approved for Payment:</t>
    </r>
  </si>
  <si>
    <t xml:space="preserve">    Cash available</t>
  </si>
  <si>
    <t xml:space="preserve">    Subject to ADA (where applicable)</t>
  </si>
  <si>
    <t xml:space="preserve">    Supporting documents complete and proper</t>
  </si>
  <si>
    <t xml:space="preserve">    Signature:</t>
  </si>
  <si>
    <t>Signature:</t>
  </si>
  <si>
    <r>
      <t xml:space="preserve">    Printed Name:                                    </t>
    </r>
    <r>
      <rPr>
        <b/>
        <sz val="9"/>
        <rFont val="Times New Roman"/>
        <family val="1"/>
      </rPr>
      <t xml:space="preserve">  JOSE G. TALOSIG</t>
    </r>
  </si>
  <si>
    <t>MICKEL JOHN L. DELOS SANTOS</t>
  </si>
  <si>
    <r>
      <t xml:space="preserve">Printed Name:   </t>
    </r>
    <r>
      <rPr>
        <b/>
        <sz val="9"/>
        <rFont val="Times New Roman"/>
        <family val="1"/>
      </rPr>
      <t xml:space="preserve">                          </t>
    </r>
  </si>
  <si>
    <t xml:space="preserve">    Position: </t>
  </si>
  <si>
    <t>Aministrative Assistant III</t>
  </si>
  <si>
    <t xml:space="preserve">Position:                         </t>
  </si>
  <si>
    <t>Principal II</t>
  </si>
  <si>
    <t xml:space="preserve">    Date:</t>
  </si>
  <si>
    <t>Date.</t>
  </si>
  <si>
    <r>
      <t xml:space="preserve">  </t>
    </r>
    <r>
      <rPr>
        <b/>
        <sz val="10"/>
        <rFont val="Calibri"/>
        <family val="2"/>
      </rPr>
      <t xml:space="preserve">  E.      Received Payment</t>
    </r>
  </si>
  <si>
    <t>JEV No.</t>
  </si>
  <si>
    <t>Check/   ADA No. :</t>
  </si>
  <si>
    <t>Bank Name &amp; Account Number:</t>
  </si>
  <si>
    <t>Signature :</t>
  </si>
  <si>
    <t>Printed Name:</t>
  </si>
  <si>
    <t>Official Receipt No. &amp; Date/Other Documents</t>
  </si>
  <si>
    <t>2026-10-10</t>
  </si>
  <si>
    <t>Date: /       /</t>
  </si>
  <si>
    <t>No. 2026-</t>
  </si>
  <si>
    <t xml:space="preserve">                                                                          PURCHASE ORDER</t>
  </si>
  <si>
    <t>Appendix 61</t>
  </si>
  <si>
    <t>Naguilian , Lal-lo Cagayan</t>
  </si>
  <si>
    <t>Supplier:</t>
  </si>
  <si>
    <t>P.O. No.:</t>
  </si>
  <si>
    <t>2026-04</t>
  </si>
  <si>
    <t>Address:</t>
  </si>
  <si>
    <t>TIN:</t>
  </si>
  <si>
    <t>Mode of Procurement:   SMALL VALUE</t>
  </si>
  <si>
    <t>Gentlemen:</t>
  </si>
  <si>
    <t>Please furnish this office the following articles subject to the terms and conditions contained herein:</t>
  </si>
  <si>
    <t>Place of Delivery:</t>
  </si>
  <si>
    <t>Delivery Term:  1-2 DAY/S OF DELIVERY</t>
  </si>
  <si>
    <t>Date of Delivery:</t>
  </si>
  <si>
    <r>
      <rPr>
        <sz val="11"/>
        <rFont val="Times New Roman"/>
        <family val="1"/>
      </rPr>
      <t xml:space="preserve">Payment Term:   </t>
    </r>
    <r>
      <rPr>
        <b/>
        <sz val="11"/>
        <rFont val="Times New Roman"/>
        <family val="1"/>
      </rPr>
      <t>Check</t>
    </r>
  </si>
  <si>
    <t>Stock No.</t>
  </si>
  <si>
    <t>Unit</t>
  </si>
  <si>
    <t>Description</t>
  </si>
  <si>
    <t>Quantity</t>
  </si>
  <si>
    <t>Unit Cost</t>
  </si>
  <si>
    <t>In case of failure to make the ful delivery within the time specified above, a penalty of one-tenth (1/10)</t>
  </si>
  <si>
    <t>of one percent of every day of delay shall be imposed.</t>
  </si>
  <si>
    <t>Conforme:</t>
  </si>
  <si>
    <t>Very truly yours,</t>
  </si>
  <si>
    <t xml:space="preserve">        Signature over Printed Name of Supplier</t>
  </si>
  <si>
    <r>
      <t xml:space="preserve">Fund Cluster: </t>
    </r>
    <r>
      <rPr>
        <b/>
        <sz val="10"/>
        <color theme="1"/>
        <rFont val="Times New Roman"/>
        <family val="1"/>
      </rPr>
      <t>MOOE</t>
    </r>
  </si>
  <si>
    <t>ORS/BURS No.:</t>
  </si>
  <si>
    <t>Funds Available:</t>
  </si>
  <si>
    <t>Date of the ORS/BURS:</t>
  </si>
  <si>
    <t xml:space="preserve">          Amount:         Php</t>
  </si>
  <si>
    <t>Signature over Printed Name of Chief Accountant/Head of Accounting Division/Unit</t>
  </si>
  <si>
    <t xml:space="preserve">	</t>
  </si>
  <si>
    <t>DEPARTMENT OF EDUCATION</t>
  </si>
  <si>
    <t>DIVISION OF CAGAYAN</t>
  </si>
  <si>
    <t>Naguilian, Lal-lo, Cagayan</t>
  </si>
  <si>
    <t xml:space="preserve"> CANVASS OF PRICE</t>
  </si>
  <si>
    <t>Name of Supplier:</t>
  </si>
  <si>
    <t>GOLDEN RIBBON</t>
  </si>
  <si>
    <t>Date</t>
  </si>
  <si>
    <t xml:space="preserve">Item No. </t>
  </si>
  <si>
    <t>QTY</t>
  </si>
  <si>
    <t>UNIT</t>
  </si>
  <si>
    <t>ARTICLE/S</t>
  </si>
  <si>
    <t xml:space="preserve">UNIT PRICE </t>
  </si>
  <si>
    <t>TOTAL PRICE /UNIT</t>
  </si>
  <si>
    <t>Note: The school reserves the right to accept or reject any bid.</t>
  </si>
  <si>
    <t>Signature of Dealer and Printed Name</t>
  </si>
  <si>
    <t>Served by:</t>
  </si>
  <si>
    <t xml:space="preserve">LUZBELLA C. AGLUBA </t>
  </si>
  <si>
    <t xml:space="preserve">         Canvasser</t>
  </si>
  <si>
    <t>Appendix 60</t>
  </si>
  <si>
    <t>PURCHASE REQUEST</t>
  </si>
  <si>
    <r>
      <rPr>
        <sz val="11"/>
        <color theme="1"/>
        <rFont val="Times New Roman"/>
        <family val="1"/>
      </rPr>
      <t>Entity Name: NAGUILIAN</t>
    </r>
    <r>
      <rPr>
        <sz val="11"/>
        <color indexed="8"/>
        <rFont val="Times New Roman"/>
        <family val="1"/>
      </rPr>
      <t xml:space="preserve"> ELEMENTARY SCHOOL</t>
    </r>
  </si>
  <si>
    <t>Fund Cluster:</t>
  </si>
  <si>
    <t>MOOE</t>
  </si>
  <si>
    <t>Office Section:</t>
  </si>
  <si>
    <r>
      <t xml:space="preserve"> PR No.:              2026-10   </t>
    </r>
    <r>
      <rPr>
        <b/>
        <sz val="11"/>
        <color indexed="8"/>
        <rFont val="Times New Roman"/>
        <family val="1"/>
      </rPr>
      <t xml:space="preserve">     </t>
    </r>
  </si>
  <si>
    <t>DepED/Lal-lo North</t>
  </si>
  <si>
    <r>
      <rPr>
        <sz val="11"/>
        <color theme="1"/>
        <rFont val="Times New Roman"/>
        <family val="1"/>
      </rPr>
      <t xml:space="preserve">Responsibility Code:      </t>
    </r>
    <r>
      <rPr>
        <b/>
        <sz val="11"/>
        <color indexed="8"/>
        <rFont val="Times New Roman"/>
        <family val="1"/>
      </rPr>
      <t xml:space="preserve"> 70010802002</t>
    </r>
  </si>
  <si>
    <t>Stock / Property No.</t>
  </si>
  <si>
    <t>ITEM DESCRIPTION</t>
  </si>
  <si>
    <t xml:space="preserve"> Unit Cost</t>
  </si>
  <si>
    <t>Total            Cost</t>
  </si>
  <si>
    <t>Purpose:</t>
  </si>
  <si>
    <t>Requested by:</t>
  </si>
  <si>
    <t>Approved by:</t>
  </si>
  <si>
    <t>Printed name:</t>
  </si>
  <si>
    <t>DIVINA D. NOBLEZA</t>
  </si>
  <si>
    <t>Designation:</t>
  </si>
  <si>
    <t>Property Custodian-Designate</t>
  </si>
  <si>
    <t>ABSTRACT OF QUOTATION</t>
  </si>
  <si>
    <t>NAGUILIAN LEMENTARY SCHOOL</t>
  </si>
  <si>
    <t>Item No.</t>
  </si>
  <si>
    <t>Articles / Services</t>
  </si>
  <si>
    <t>Qty.</t>
  </si>
  <si>
    <t>SUPPLIERS / BIDDERS</t>
  </si>
  <si>
    <t>AWARDEE:</t>
  </si>
  <si>
    <t>We certifiy that we have verified this abstract against the Price Quotation submitted by the above suppliers</t>
  </si>
  <si>
    <t>and do hereby award the bid for Articles/Servicer called in favor of the supplier who has been determined to have</t>
  </si>
  <si>
    <t>the Lowest Calculated Responsive Bid Indicated herein as Awardee.</t>
  </si>
  <si>
    <t>APPROVED: BIDS AND AWARDS COMMITTEE</t>
  </si>
  <si>
    <t>FEDELYNE I. PONCE</t>
  </si>
  <si>
    <t>Chairman</t>
  </si>
  <si>
    <t>LEE YAN MEI A. VILLANUEVA</t>
  </si>
  <si>
    <t>JENNY LYN A. TABUADA</t>
  </si>
  <si>
    <t>Member</t>
  </si>
  <si>
    <t>MARY  ANN M. PONCE</t>
  </si>
  <si>
    <t>Appendix 62</t>
  </si>
  <si>
    <t>INSPECTION AND ACCEPTANCE REPORT</t>
  </si>
  <si>
    <r>
      <rPr>
        <sz val="11"/>
        <color indexed="8"/>
        <rFont val="Times New Roman"/>
        <family val="1"/>
      </rPr>
      <t>Entity Name:</t>
    </r>
    <r>
      <rPr>
        <b/>
        <sz val="11"/>
        <color indexed="8"/>
        <rFont val="Times New Roman"/>
        <family val="1"/>
      </rPr>
      <t xml:space="preserve"> NAGUILIAN ELEMENTARY SCHOOL    </t>
    </r>
  </si>
  <si>
    <r>
      <rPr>
        <sz val="11"/>
        <color theme="1"/>
        <rFont val="Times New Roman"/>
        <family val="1"/>
      </rPr>
      <t xml:space="preserve">Fund Cluster:  </t>
    </r>
    <r>
      <rPr>
        <b/>
        <sz val="11"/>
        <color indexed="8"/>
        <rFont val="Times New Roman"/>
        <family val="1"/>
      </rPr>
      <t>MOOE</t>
    </r>
  </si>
  <si>
    <t>IAR No.</t>
  </si>
  <si>
    <t xml:space="preserve">PO No.: </t>
  </si>
  <si>
    <t xml:space="preserve">Date: </t>
  </si>
  <si>
    <t>Requisitioning Office/Dept.:  DepEd/Naguilian Elementary School</t>
  </si>
  <si>
    <t xml:space="preserve">Invoice No. </t>
  </si>
  <si>
    <t>Responsibility Center Code:  70010802002</t>
  </si>
  <si>
    <t>Stock/ Property No.</t>
  </si>
  <si>
    <t>INSPECTION</t>
  </si>
  <si>
    <t>ACCEPTANCE</t>
  </si>
  <si>
    <t xml:space="preserve">Date Inspected: </t>
  </si>
  <si>
    <t xml:space="preserve">Date Received: </t>
  </si>
  <si>
    <t>Inspected, verrified and found in</t>
  </si>
  <si>
    <t xml:space="preserve">              Complete</t>
  </si>
  <si>
    <t>order as to quantity and specifications</t>
  </si>
  <si>
    <t xml:space="preserve">              Partial (Pls. specify quantity)</t>
  </si>
  <si>
    <t>Inspection Officer</t>
  </si>
  <si>
    <t>Property Custodian- Designate</t>
  </si>
  <si>
    <t>Appendix 63</t>
  </si>
  <si>
    <t>REQUISITION AND ISSUE SLIP</t>
  </si>
  <si>
    <t xml:space="preserve">Entity Name: NAGUILIAN  ELEMENTARY SCHOOL    </t>
  </si>
  <si>
    <t>Division:</t>
  </si>
  <si>
    <t>Cagayan</t>
  </si>
  <si>
    <t>Responsibility Center Code: 70010802002</t>
  </si>
  <si>
    <t>Office:</t>
  </si>
  <si>
    <t>Department of Education/Naguilian Elementary School</t>
  </si>
  <si>
    <t xml:space="preserve">RIS No.: </t>
  </si>
  <si>
    <t>Requisition</t>
  </si>
  <si>
    <t>Stock Available?</t>
  </si>
  <si>
    <t>Issue</t>
  </si>
  <si>
    <t>Yes</t>
  </si>
  <si>
    <t>No</t>
  </si>
  <si>
    <t>Remarks</t>
  </si>
  <si>
    <t>Issued by:</t>
  </si>
  <si>
    <t>Received by:</t>
  </si>
  <si>
    <t>AMALIA I. CONSIGNA</t>
  </si>
  <si>
    <t>Designation</t>
  </si>
  <si>
    <t>Disbursing Officer</t>
  </si>
  <si>
    <t>Property 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</si>
</sst>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m/d/yy;@"/>
    <numFmt numFmtId="167" formatCode="mm/dd/yy;@"/>
    <numFmt numFmtId="168" formatCode="mm/dd/yyyy;@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sz val="9"/>
      <color theme="0"/>
      <name val="Calibri"/>
      <family val="2"/>
      <scheme val="minor"/>
    </font>
    <font>
      <sz val="10"/>
      <name val="Times New Roman"/>
      <family val="1"/>
    </font>
    <font>
      <sz val="9"/>
      <color theme="0"/>
      <name val="Times New Roman"/>
      <family val="1"/>
    </font>
    <font>
      <b/>
      <sz val="8"/>
      <name val="Calibri"/>
      <family val="2"/>
      <scheme val="minor"/>
    </font>
    <font>
      <sz val="7"/>
      <name val="Calibri"/>
      <family val="2"/>
      <scheme val="minor"/>
    </font>
    <font>
      <sz val="8"/>
      <name val="Arial"/>
      <family val="2"/>
    </font>
    <font>
      <sz val="6"/>
      <name val="Calibri"/>
      <family val="2"/>
      <scheme val="minor"/>
    </font>
    <font>
      <sz val="8"/>
      <name val="Times New Roman"/>
      <family val="1"/>
    </font>
    <font>
      <b/>
      <sz val="14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i/>
      <sz val="11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u val="singleAccounting"/>
      <sz val="11"/>
      <color theme="0"/>
      <name val="Times New Roman"/>
      <family val="1"/>
    </font>
    <font>
      <b/>
      <u val="singleAccounting"/>
      <sz val="11"/>
      <color theme="1"/>
      <name val="Times New Roman"/>
      <family val="1"/>
    </font>
    <font>
      <sz val="10"/>
      <color rgb="FFFFFFFF"/>
      <name val="Calibri"/>
      <family val="2"/>
      <scheme val="minor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rgb="FFFFFFFF"/>
      <name val="Times New Roman"/>
      <family val="1"/>
    </font>
    <font>
      <b/>
      <sz val="10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11"/>
      <color theme="1"/>
      <name val="Times New Roman"/>
      <family val="1"/>
    </font>
    <font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6"/>
      </top>
      <bottom/>
      <diagonal/>
    </border>
    <border>
      <left/>
      <right style="thin">
        <color indexed="64"/>
      </right>
      <top style="thin">
        <color indexed="56"/>
      </top>
      <bottom/>
      <diagonal/>
    </border>
    <border>
      <left/>
      <right style="thin">
        <color indexed="56"/>
      </right>
      <top style="thin">
        <color indexed="64"/>
      </top>
      <bottom/>
      <diagonal/>
    </border>
    <border>
      <left style="thin">
        <color indexed="56"/>
      </left>
      <right/>
      <top style="thin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56"/>
      </right>
      <top/>
      <bottom style="thin">
        <color indexed="64"/>
      </bottom>
      <diagonal/>
    </border>
    <border>
      <left style="thin">
        <color indexed="56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 style="medium">
        <color indexed="64"/>
      </right>
      <top style="thin">
        <color indexed="56"/>
      </top>
      <bottom style="thin">
        <color indexed="56"/>
      </bottom>
      <diagonal/>
    </border>
    <border>
      <left style="medium">
        <color indexed="64"/>
      </left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 style="medium">
        <color indexed="64"/>
      </right>
      <top style="thin">
        <color indexed="56"/>
      </top>
      <bottom/>
      <diagonal/>
    </border>
    <border>
      <left style="medium">
        <color indexed="64"/>
      </left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 style="medium">
        <color indexed="64"/>
      </right>
      <top/>
      <bottom style="thin">
        <color indexed="56"/>
      </bottom>
      <diagonal/>
    </border>
    <border>
      <left style="medium">
        <color indexed="64"/>
      </left>
      <right/>
      <top/>
      <bottom style="thin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6"/>
      </left>
      <right/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medium">
        <color indexed="64"/>
      </right>
      <top style="thin">
        <color indexed="56"/>
      </top>
      <bottom style="thin">
        <color indexed="56"/>
      </bottom>
      <diagonal/>
    </border>
    <border>
      <left style="medium">
        <color indexed="64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 style="medium">
        <color indexed="64"/>
      </right>
      <top style="thin">
        <color indexed="5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6"/>
      </right>
      <top style="thin">
        <color indexed="64"/>
      </top>
      <bottom style="thin">
        <color indexed="64"/>
      </bottom>
      <diagonal/>
    </border>
    <border>
      <left style="thin">
        <color indexed="56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56"/>
      </bottom>
      <diagonal/>
    </border>
    <border>
      <left/>
      <right/>
      <top style="thin">
        <color indexed="64"/>
      </top>
      <bottom style="thin">
        <color indexed="56"/>
      </bottom>
      <diagonal/>
    </border>
    <border>
      <left/>
      <right style="thin">
        <color indexed="64"/>
      </right>
      <top style="thin">
        <color indexed="64"/>
      </top>
      <bottom style="thin">
        <color indexed="5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1" fillId="0" borderId="0"/>
  </cellStyleXfs>
  <cellXfs count="709">
    <xf numFmtId="0" fontId="0" fillId="0" borderId="0" xfId="0"/>
    <xf numFmtId="0" fontId="5" fillId="0" borderId="0" xfId="2" applyFont="1" applyAlignment="1">
      <alignment horizontal="center"/>
    </xf>
    <xf numFmtId="0" fontId="6" fillId="0" borderId="0" xfId="2" applyFont="1"/>
    <xf numFmtId="0" fontId="7" fillId="0" borderId="0" xfId="2" applyFont="1" applyAlignment="1">
      <alignment horizontal="center"/>
    </xf>
    <xf numFmtId="0" fontId="6" fillId="0" borderId="15" xfId="2" applyFont="1" applyBorder="1"/>
    <xf numFmtId="14" fontId="9" fillId="0" borderId="5" xfId="2" applyNumberFormat="1" applyFont="1" applyBorder="1" applyAlignment="1">
      <alignment horizontal="left"/>
    </xf>
    <xf numFmtId="0" fontId="6" fillId="0" borderId="0" xfId="2" applyFont="1" applyAlignment="1">
      <alignment horizontal="left"/>
    </xf>
    <xf numFmtId="0" fontId="6" fillId="0" borderId="17" xfId="2" applyFont="1" applyBorder="1"/>
    <xf numFmtId="14" fontId="9" fillId="0" borderId="8" xfId="2" applyNumberFormat="1" applyFont="1" applyBorder="1" applyAlignment="1">
      <alignment horizontal="left"/>
    </xf>
    <xf numFmtId="0" fontId="6" fillId="0" borderId="18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10" fillId="0" borderId="0" xfId="2" applyFont="1"/>
    <xf numFmtId="0" fontId="6" fillId="0" borderId="5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8" xfId="2" applyFont="1" applyBorder="1"/>
    <xf numFmtId="0" fontId="6" fillId="0" borderId="12" xfId="2" applyFont="1" applyBorder="1"/>
    <xf numFmtId="0" fontId="6" fillId="0" borderId="10" xfId="2" applyFont="1" applyBorder="1"/>
    <xf numFmtId="0" fontId="6" fillId="0" borderId="11" xfId="2" applyFont="1" applyBorder="1"/>
    <xf numFmtId="0" fontId="6" fillId="0" borderId="20" xfId="2" applyFont="1" applyBorder="1"/>
    <xf numFmtId="0" fontId="1" fillId="0" borderId="21" xfId="2" applyBorder="1"/>
    <xf numFmtId="0" fontId="9" fillId="0" borderId="22" xfId="2" applyFont="1" applyBorder="1"/>
    <xf numFmtId="0" fontId="9" fillId="0" borderId="15" xfId="2" applyFont="1" applyBorder="1"/>
    <xf numFmtId="49" fontId="1" fillId="0" borderId="8" xfId="2" applyNumberFormat="1" applyBorder="1" applyAlignment="1">
      <alignment horizontal="left"/>
    </xf>
    <xf numFmtId="0" fontId="6" fillId="0" borderId="19" xfId="2" applyFont="1" applyBorder="1"/>
    <xf numFmtId="0" fontId="12" fillId="0" borderId="0" xfId="2" applyFont="1"/>
    <xf numFmtId="0" fontId="6" fillId="0" borderId="9" xfId="2" applyFont="1" applyBorder="1" applyAlignment="1">
      <alignment horizontal="left"/>
    </xf>
    <xf numFmtId="0" fontId="6" fillId="0" borderId="10" xfId="2" applyFont="1" applyBorder="1" applyAlignment="1">
      <alignment horizontal="left"/>
    </xf>
    <xf numFmtId="0" fontId="6" fillId="0" borderId="11" xfId="2" applyFont="1" applyBorder="1" applyAlignment="1">
      <alignment horizontal="left"/>
    </xf>
    <xf numFmtId="0" fontId="6" fillId="0" borderId="12" xfId="2" applyFont="1" applyBorder="1" applyAlignment="1">
      <alignment horizontal="left"/>
    </xf>
    <xf numFmtId="0" fontId="6" fillId="0" borderId="25" xfId="2" applyFont="1" applyBorder="1" applyAlignment="1">
      <alignment horizontal="left"/>
    </xf>
    <xf numFmtId="43" fontId="9" fillId="0" borderId="0" xfId="3" applyFont="1" applyBorder="1" applyAlignment="1">
      <alignment horizontal="center" vertical="center"/>
    </xf>
    <xf numFmtId="1" fontId="6" fillId="0" borderId="15" xfId="3" applyNumberFormat="1" applyFont="1" applyBorder="1" applyAlignment="1">
      <alignment horizontal="center"/>
    </xf>
    <xf numFmtId="1" fontId="6" fillId="0" borderId="0" xfId="3" applyNumberFormat="1" applyFont="1" applyBorder="1" applyAlignment="1">
      <alignment horizontal="center"/>
    </xf>
    <xf numFmtId="1" fontId="6" fillId="0" borderId="14" xfId="3" applyNumberFormat="1" applyFont="1" applyBorder="1" applyAlignment="1">
      <alignment horizontal="center"/>
    </xf>
    <xf numFmtId="4" fontId="9" fillId="0" borderId="5" xfId="3" applyNumberFormat="1" applyFont="1" applyBorder="1" applyAlignment="1">
      <alignment horizontal="center" vertical="center"/>
    </xf>
    <xf numFmtId="4" fontId="1" fillId="0" borderId="14" xfId="3" applyNumberFormat="1" applyFont="1" applyBorder="1" applyAlignment="1">
      <alignment horizontal="left"/>
    </xf>
    <xf numFmtId="43" fontId="6" fillId="0" borderId="0" xfId="2" applyNumberFormat="1" applyFont="1"/>
    <xf numFmtId="0" fontId="2" fillId="0" borderId="4" xfId="3" applyNumberFormat="1" applyFont="1" applyBorder="1" applyAlignment="1"/>
    <xf numFmtId="0" fontId="2" fillId="0" borderId="0" xfId="3" applyNumberFormat="1" applyFont="1" applyBorder="1" applyAlignment="1"/>
    <xf numFmtId="9" fontId="3" fillId="0" borderId="0" xfId="3" applyNumberFormat="1" applyFont="1" applyBorder="1" applyAlignment="1"/>
    <xf numFmtId="43" fontId="2" fillId="0" borderId="0" xfId="3" applyFont="1" applyBorder="1" applyAlignment="1"/>
    <xf numFmtId="43" fontId="3" fillId="0" borderId="16" xfId="3" applyFont="1" applyBorder="1" applyAlignment="1"/>
    <xf numFmtId="43" fontId="14" fillId="0" borderId="0" xfId="3" applyFont="1" applyBorder="1" applyAlignment="1"/>
    <xf numFmtId="43" fontId="14" fillId="0" borderId="14" xfId="3" applyFont="1" applyBorder="1" applyAlignment="1"/>
    <xf numFmtId="0" fontId="15" fillId="0" borderId="27" xfId="3" applyNumberFormat="1" applyFont="1" applyBorder="1" applyAlignment="1">
      <alignment horizontal="center"/>
    </xf>
    <xf numFmtId="43" fontId="16" fillId="0" borderId="28" xfId="3" applyFont="1" applyBorder="1" applyAlignment="1">
      <alignment horizontal="center" vertical="center"/>
    </xf>
    <xf numFmtId="43" fontId="16" fillId="0" borderId="5" xfId="3" applyFont="1" applyBorder="1" applyAlignment="1">
      <alignment horizontal="center" vertical="center"/>
    </xf>
    <xf numFmtId="43" fontId="9" fillId="0" borderId="0" xfId="2" applyNumberFormat="1" applyFont="1"/>
    <xf numFmtId="0" fontId="9" fillId="0" borderId="0" xfId="2" applyFont="1"/>
    <xf numFmtId="0" fontId="2" fillId="0" borderId="4" xfId="3" applyNumberFormat="1" applyFont="1" applyBorder="1" applyAlignment="1">
      <alignment horizontal="left"/>
    </xf>
    <xf numFmtId="0" fontId="2" fillId="0" borderId="0" xfId="3" applyNumberFormat="1" applyFont="1" applyBorder="1" applyAlignment="1">
      <alignment horizontal="left"/>
    </xf>
    <xf numFmtId="9" fontId="3" fillId="0" borderId="0" xfId="3" applyNumberFormat="1" applyFont="1" applyBorder="1" applyAlignment="1">
      <alignment horizontal="right"/>
    </xf>
    <xf numFmtId="0" fontId="15" fillId="0" borderId="0" xfId="3" applyNumberFormat="1" applyFont="1" applyBorder="1" applyAlignment="1">
      <alignment horizontal="center"/>
    </xf>
    <xf numFmtId="2" fontId="1" fillId="0" borderId="14" xfId="3" applyNumberFormat="1" applyFont="1" applyBorder="1"/>
    <xf numFmtId="0" fontId="15" fillId="0" borderId="29" xfId="2" applyFont="1" applyBorder="1"/>
    <xf numFmtId="0" fontId="15" fillId="0" borderId="0" xfId="2" applyFont="1"/>
    <xf numFmtId="164" fontId="15" fillId="0" borderId="14" xfId="2" applyNumberFormat="1" applyFont="1" applyBorder="1"/>
    <xf numFmtId="0" fontId="15" fillId="0" borderId="27" xfId="2" applyFont="1" applyBorder="1"/>
    <xf numFmtId="43" fontId="1" fillId="0" borderId="14" xfId="2" applyNumberFormat="1" applyBorder="1"/>
    <xf numFmtId="0" fontId="15" fillId="0" borderId="6" xfId="2" applyFont="1" applyBorder="1" applyAlignment="1">
      <alignment horizontal="left"/>
    </xf>
    <xf numFmtId="0" fontId="17" fillId="0" borderId="7" xfId="2" applyFont="1" applyBorder="1" applyAlignment="1">
      <alignment horizontal="left"/>
    </xf>
    <xf numFmtId="0" fontId="18" fillId="0" borderId="7" xfId="2" applyFont="1" applyBorder="1" applyAlignment="1">
      <alignment horizontal="left"/>
    </xf>
    <xf numFmtId="43" fontId="18" fillId="0" borderId="7" xfId="2" applyNumberFormat="1" applyFont="1" applyBorder="1" applyAlignment="1">
      <alignment horizontal="left"/>
    </xf>
    <xf numFmtId="4" fontId="19" fillId="0" borderId="16" xfId="2" applyNumberFormat="1" applyFont="1" applyBorder="1" applyAlignment="1">
      <alignment horizontal="left"/>
    </xf>
    <xf numFmtId="0" fontId="18" fillId="0" borderId="17" xfId="2" applyFont="1" applyBorder="1" applyAlignment="1">
      <alignment horizontal="left"/>
    </xf>
    <xf numFmtId="0" fontId="18" fillId="0" borderId="7" xfId="2" applyFont="1" applyBorder="1"/>
    <xf numFmtId="0" fontId="18" fillId="0" borderId="16" xfId="2" applyFont="1" applyBorder="1"/>
    <xf numFmtId="0" fontId="18" fillId="0" borderId="30" xfId="2" applyFont="1" applyBorder="1"/>
    <xf numFmtId="43" fontId="19" fillId="0" borderId="31" xfId="3" applyFont="1" applyBorder="1" applyAlignment="1">
      <alignment vertical="center"/>
    </xf>
    <xf numFmtId="43" fontId="19" fillId="0" borderId="8" xfId="3" applyFont="1" applyBorder="1" applyAlignment="1">
      <alignment vertical="center"/>
    </xf>
    <xf numFmtId="4" fontId="9" fillId="0" borderId="0" xfId="3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/>
    </xf>
    <xf numFmtId="0" fontId="6" fillId="0" borderId="0" xfId="2" applyFont="1" applyAlignment="1">
      <alignment horizontal="center"/>
    </xf>
    <xf numFmtId="0" fontId="6" fillId="0" borderId="4" xfId="2" applyFont="1" applyBorder="1" applyAlignment="1">
      <alignment horizontal="left"/>
    </xf>
    <xf numFmtId="0" fontId="9" fillId="0" borderId="0" xfId="2" applyFont="1" applyAlignment="1">
      <alignment horizontal="left"/>
    </xf>
    <xf numFmtId="0" fontId="10" fillId="0" borderId="35" xfId="2" applyFont="1" applyBorder="1" applyAlignment="1">
      <alignment horizontal="center"/>
    </xf>
    <xf numFmtId="0" fontId="6" fillId="0" borderId="0" xfId="2" applyFont="1" applyAlignment="1">
      <alignment horizontal="right" vertical="center"/>
    </xf>
    <xf numFmtId="43" fontId="6" fillId="0" borderId="0" xfId="3" applyFont="1" applyBorder="1"/>
    <xf numFmtId="0" fontId="10" fillId="0" borderId="40" xfId="2" applyFont="1" applyBorder="1" applyAlignment="1">
      <alignment horizontal="center"/>
    </xf>
    <xf numFmtId="0" fontId="9" fillId="0" borderId="46" xfId="2" applyFont="1" applyBorder="1"/>
    <xf numFmtId="0" fontId="21" fillId="0" borderId="48" xfId="2" applyFont="1" applyBorder="1" applyAlignment="1">
      <alignment horizontal="left" vertical="center" wrapText="1"/>
    </xf>
    <xf numFmtId="0" fontId="21" fillId="0" borderId="49" xfId="2" applyFont="1" applyBorder="1" applyAlignment="1">
      <alignment horizontal="left" vertical="center" wrapText="1"/>
    </xf>
    <xf numFmtId="43" fontId="13" fillId="0" borderId="41" xfId="3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6" fillId="0" borderId="0" xfId="2" applyFont="1" applyAlignment="1">
      <alignment horizontal="right"/>
    </xf>
    <xf numFmtId="43" fontId="6" fillId="0" borderId="0" xfId="3" applyFont="1"/>
    <xf numFmtId="0" fontId="21" fillId="0" borderId="47" xfId="3" applyNumberFormat="1" applyFont="1" applyBorder="1" applyAlignment="1">
      <alignment horizontal="left"/>
    </xf>
    <xf numFmtId="43" fontId="13" fillId="0" borderId="45" xfId="2" applyNumberFormat="1" applyFont="1" applyBorder="1" applyAlignment="1">
      <alignment horizontal="center" vertical="center"/>
    </xf>
    <xf numFmtId="43" fontId="16" fillId="0" borderId="45" xfId="2" applyNumberFormat="1" applyFont="1" applyBorder="1" applyAlignment="1">
      <alignment horizontal="center" vertical="center"/>
    </xf>
    <xf numFmtId="43" fontId="6" fillId="0" borderId="0" xfId="2" applyNumberFormat="1" applyFont="1" applyAlignment="1">
      <alignment horizontal="right"/>
    </xf>
    <xf numFmtId="0" fontId="6" fillId="0" borderId="53" xfId="2" applyFont="1" applyBorder="1"/>
    <xf numFmtId="0" fontId="6" fillId="0" borderId="50" xfId="2" applyFont="1" applyBorder="1" applyAlignment="1">
      <alignment horizontal="center"/>
    </xf>
    <xf numFmtId="0" fontId="6" fillId="0" borderId="51" xfId="2" applyFont="1" applyBorder="1" applyAlignment="1">
      <alignment horizontal="center"/>
    </xf>
    <xf numFmtId="0" fontId="6" fillId="0" borderId="52" xfId="2" applyFont="1" applyBorder="1" applyAlignment="1">
      <alignment horizontal="center"/>
    </xf>
    <xf numFmtId="0" fontId="6" fillId="0" borderId="54" xfId="2" applyFont="1" applyBorder="1" applyAlignment="1">
      <alignment horizontal="center"/>
    </xf>
    <xf numFmtId="0" fontId="6" fillId="0" borderId="55" xfId="2" applyFont="1" applyBorder="1"/>
    <xf numFmtId="43" fontId="19" fillId="0" borderId="55" xfId="3" applyFont="1" applyBorder="1"/>
    <xf numFmtId="43" fontId="19" fillId="0" borderId="56" xfId="3" applyFont="1" applyBorder="1"/>
    <xf numFmtId="43" fontId="22" fillId="0" borderId="0" xfId="2" applyNumberFormat="1" applyFont="1" applyAlignment="1">
      <alignment horizontal="right"/>
    </xf>
    <xf numFmtId="0" fontId="6" fillId="0" borderId="57" xfId="2" applyFont="1" applyBorder="1" applyAlignment="1">
      <alignment horizontal="left"/>
    </xf>
    <xf numFmtId="0" fontId="6" fillId="0" borderId="58" xfId="2" applyFont="1" applyBorder="1" applyAlignment="1">
      <alignment horizontal="left"/>
    </xf>
    <xf numFmtId="0" fontId="6" fillId="0" borderId="59" xfId="2" applyFont="1" applyBorder="1" applyAlignment="1">
      <alignment horizontal="left"/>
    </xf>
    <xf numFmtId="0" fontId="6" fillId="0" borderId="60" xfId="2" applyFont="1" applyBorder="1" applyAlignment="1">
      <alignment horizontal="left"/>
    </xf>
    <xf numFmtId="43" fontId="6" fillId="0" borderId="58" xfId="2" applyNumberFormat="1" applyFont="1" applyBorder="1" applyAlignment="1">
      <alignment horizontal="left"/>
    </xf>
    <xf numFmtId="0" fontId="6" fillId="0" borderId="61" xfId="2" applyFont="1" applyBorder="1" applyAlignment="1">
      <alignment horizontal="left"/>
    </xf>
    <xf numFmtId="0" fontId="6" fillId="0" borderId="4" xfId="2" applyFont="1" applyBorder="1"/>
    <xf numFmtId="0" fontId="9" fillId="0" borderId="62" xfId="2" applyFont="1" applyBorder="1" applyAlignment="1">
      <alignment horizontal="center"/>
    </xf>
    <xf numFmtId="0" fontId="22" fillId="0" borderId="0" xfId="2" applyFont="1"/>
    <xf numFmtId="0" fontId="22" fillId="0" borderId="27" xfId="2" applyFont="1" applyBorder="1"/>
    <xf numFmtId="0" fontId="6" fillId="0" borderId="28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22" fillId="0" borderId="62" xfId="2" applyFont="1" applyBorder="1"/>
    <xf numFmtId="0" fontId="10" fillId="0" borderId="53" xfId="2" applyFont="1" applyBorder="1"/>
    <xf numFmtId="0" fontId="22" fillId="0" borderId="47" xfId="2" applyFont="1" applyBorder="1"/>
    <xf numFmtId="0" fontId="22" fillId="0" borderId="48" xfId="2" applyFont="1" applyBorder="1"/>
    <xf numFmtId="0" fontId="22" fillId="0" borderId="63" xfId="2" applyFont="1" applyBorder="1"/>
    <xf numFmtId="0" fontId="10" fillId="0" borderId="64" xfId="2" applyFont="1" applyBorder="1"/>
    <xf numFmtId="0" fontId="22" fillId="0" borderId="49" xfId="2" applyFont="1" applyBorder="1"/>
    <xf numFmtId="0" fontId="22" fillId="0" borderId="21" xfId="2" applyFont="1" applyBorder="1"/>
    <xf numFmtId="0" fontId="22" fillId="0" borderId="0" xfId="2" applyFont="1" applyAlignment="1">
      <alignment horizontal="left"/>
    </xf>
    <xf numFmtId="0" fontId="24" fillId="0" borderId="53" xfId="2" applyFont="1" applyBorder="1"/>
    <xf numFmtId="0" fontId="24" fillId="0" borderId="47" xfId="2" applyFont="1" applyBorder="1"/>
    <xf numFmtId="0" fontId="27" fillId="0" borderId="49" xfId="2" applyFont="1" applyBorder="1"/>
    <xf numFmtId="0" fontId="21" fillId="0" borderId="0" xfId="2" applyFont="1"/>
    <xf numFmtId="0" fontId="27" fillId="0" borderId="0" xfId="2" applyFont="1"/>
    <xf numFmtId="0" fontId="29" fillId="0" borderId="65" xfId="2" applyFont="1" applyBorder="1"/>
    <xf numFmtId="0" fontId="31" fillId="0" borderId="47" xfId="2" applyFont="1" applyBorder="1"/>
    <xf numFmtId="0" fontId="27" fillId="0" borderId="0" xfId="2" applyFont="1" applyAlignment="1">
      <alignment horizontal="left"/>
    </xf>
    <xf numFmtId="0" fontId="10" fillId="0" borderId="69" xfId="2" applyFont="1" applyBorder="1"/>
    <xf numFmtId="0" fontId="10" fillId="0" borderId="70" xfId="2" applyFont="1" applyBorder="1"/>
    <xf numFmtId="0" fontId="10" fillId="0" borderId="71" xfId="2" applyFont="1" applyBorder="1"/>
    <xf numFmtId="0" fontId="10" fillId="0" borderId="0" xfId="2" applyFont="1" applyAlignment="1">
      <alignment horizontal="center"/>
    </xf>
    <xf numFmtId="0" fontId="6" fillId="0" borderId="6" xfId="2" applyFont="1" applyBorder="1"/>
    <xf numFmtId="0" fontId="6" fillId="0" borderId="7" xfId="2" applyFont="1" applyBorder="1"/>
    <xf numFmtId="0" fontId="22" fillId="0" borderId="7" xfId="2" applyFont="1" applyBorder="1"/>
    <xf numFmtId="0" fontId="6" fillId="0" borderId="16" xfId="2" applyFont="1" applyBorder="1"/>
    <xf numFmtId="49" fontId="6" fillId="0" borderId="8" xfId="2" applyNumberFormat="1" applyFont="1" applyBorder="1" applyAlignment="1">
      <alignment wrapText="1"/>
    </xf>
    <xf numFmtId="0" fontId="13" fillId="0" borderId="47" xfId="2" quotePrefix="1" applyFont="1" applyBorder="1" applyAlignment="1">
      <alignment horizontal="left"/>
    </xf>
    <xf numFmtId="0" fontId="13" fillId="0" borderId="48" xfId="2" applyFont="1" applyBorder="1" applyAlignment="1">
      <alignment horizontal="left"/>
    </xf>
    <xf numFmtId="14" fontId="13" fillId="0" borderId="62" xfId="2" applyNumberFormat="1" applyFont="1" applyBorder="1"/>
    <xf numFmtId="0" fontId="6" fillId="0" borderId="47" xfId="2" applyFont="1" applyBorder="1" applyAlignment="1">
      <alignment horizontal="left"/>
    </xf>
    <xf numFmtId="0" fontId="6" fillId="0" borderId="48" xfId="2" applyFont="1" applyBorder="1" applyAlignment="1">
      <alignment horizontal="left"/>
    </xf>
    <xf numFmtId="0" fontId="6" fillId="0" borderId="49" xfId="2" applyFont="1" applyBorder="1" applyAlignment="1">
      <alignment horizontal="left"/>
    </xf>
    <xf numFmtId="0" fontId="6" fillId="0" borderId="8" xfId="2" applyFont="1" applyBorder="1"/>
    <xf numFmtId="0" fontId="6" fillId="0" borderId="47" xfId="2" applyFont="1" applyBorder="1"/>
    <xf numFmtId="0" fontId="6" fillId="0" borderId="48" xfId="2" applyFont="1" applyBorder="1"/>
    <xf numFmtId="0" fontId="6" fillId="0" borderId="70" xfId="2" applyFont="1" applyBorder="1" applyAlignment="1">
      <alignment horizontal="left"/>
    </xf>
    <xf numFmtId="0" fontId="6" fillId="0" borderId="73" xfId="2" applyFont="1" applyBorder="1" applyAlignment="1">
      <alignment horizontal="left"/>
    </xf>
    <xf numFmtId="0" fontId="6" fillId="0" borderId="70" xfId="2" applyFont="1" applyBorder="1"/>
    <xf numFmtId="14" fontId="6" fillId="0" borderId="71" xfId="2" applyNumberFormat="1" applyFont="1" applyBorder="1"/>
    <xf numFmtId="0" fontId="6" fillId="0" borderId="74" xfId="2" applyFont="1" applyBorder="1" applyAlignment="1">
      <alignment horizontal="left"/>
    </xf>
    <xf numFmtId="0" fontId="6" fillId="0" borderId="75" xfId="2" applyFont="1" applyBorder="1" applyAlignment="1">
      <alignment horizontal="left"/>
    </xf>
    <xf numFmtId="0" fontId="6" fillId="0" borderId="77" xfId="2" applyFont="1" applyBorder="1"/>
    <xf numFmtId="0" fontId="6" fillId="0" borderId="78" xfId="2" applyFont="1" applyBorder="1"/>
    <xf numFmtId="0" fontId="9" fillId="0" borderId="0" xfId="2" applyFont="1" applyAlignment="1">
      <alignment horizontal="center"/>
    </xf>
    <xf numFmtId="9" fontId="6" fillId="0" borderId="0" xfId="2" applyNumberFormat="1" applyFont="1"/>
    <xf numFmtId="43" fontId="33" fillId="0" borderId="0" xfId="3" applyFont="1" applyBorder="1" applyAlignment="1">
      <alignment horizontal="left"/>
    </xf>
    <xf numFmtId="0" fontId="33" fillId="0" borderId="0" xfId="3" applyNumberFormat="1" applyFont="1" applyBorder="1"/>
    <xf numFmtId="43" fontId="33" fillId="0" borderId="0" xfId="3" applyFont="1" applyBorder="1" applyAlignment="1"/>
    <xf numFmtId="43" fontId="30" fillId="0" borderId="0" xfId="3" applyFont="1" applyBorder="1"/>
    <xf numFmtId="9" fontId="21" fillId="0" borderId="0" xfId="2" applyNumberFormat="1" applyFont="1"/>
    <xf numFmtId="43" fontId="34" fillId="0" borderId="0" xfId="2" applyNumberFormat="1" applyFont="1"/>
    <xf numFmtId="165" fontId="35" fillId="0" borderId="0" xfId="3" applyNumberFormat="1" applyFont="1" applyFill="1" applyBorder="1" applyAlignment="1"/>
    <xf numFmtId="9" fontId="6" fillId="0" borderId="0" xfId="3" applyNumberFormat="1" applyFont="1" applyBorder="1" applyAlignment="1"/>
    <xf numFmtId="166" fontId="6" fillId="0" borderId="0" xfId="4" applyNumberFormat="1" applyFont="1" applyFill="1" applyBorder="1" applyAlignment="1">
      <alignment horizontal="left"/>
    </xf>
    <xf numFmtId="43" fontId="21" fillId="0" borderId="0" xfId="2" applyNumberFormat="1" applyFont="1"/>
    <xf numFmtId="43" fontId="22" fillId="0" borderId="0" xfId="2" applyNumberFormat="1" applyFont="1"/>
    <xf numFmtId="43" fontId="35" fillId="0" borderId="0" xfId="2" applyNumberFormat="1" applyFont="1"/>
    <xf numFmtId="0" fontId="30" fillId="0" borderId="0" xfId="2" applyFont="1"/>
    <xf numFmtId="0" fontId="36" fillId="0" borderId="0" xfId="2" applyFont="1" applyAlignment="1">
      <alignment horizontal="left"/>
    </xf>
    <xf numFmtId="0" fontId="36" fillId="0" borderId="0" xfId="2" applyFont="1"/>
    <xf numFmtId="0" fontId="6" fillId="0" borderId="0" xfId="2" applyFont="1" applyAlignment="1">
      <alignment horizontal="center" vertical="top"/>
    </xf>
    <xf numFmtId="14" fontId="6" fillId="0" borderId="0" xfId="2" applyNumberFormat="1" applyFont="1" applyAlignment="1">
      <alignment horizontal="left"/>
    </xf>
    <xf numFmtId="43" fontId="22" fillId="0" borderId="0" xfId="3" applyFont="1" applyBorder="1"/>
    <xf numFmtId="0" fontId="10" fillId="0" borderId="0" xfId="2" applyFont="1" applyAlignment="1">
      <alignment vertical="top"/>
    </xf>
    <xf numFmtId="0" fontId="37" fillId="0" borderId="0" xfId="2" applyFont="1" applyAlignment="1">
      <alignment horizontal="center"/>
    </xf>
    <xf numFmtId="0" fontId="37" fillId="0" borderId="0" xfId="2" applyFont="1"/>
    <xf numFmtId="17" fontId="6" fillId="0" borderId="0" xfId="2" applyNumberFormat="1" applyFont="1"/>
    <xf numFmtId="17" fontId="9" fillId="0" borderId="0" xfId="2" applyNumberFormat="1" applyFont="1"/>
    <xf numFmtId="43" fontId="22" fillId="0" borderId="0" xfId="3" applyFont="1" applyBorder="1" applyAlignment="1"/>
    <xf numFmtId="1" fontId="6" fillId="0" borderId="0" xfId="3" applyNumberFormat="1" applyFont="1" applyBorder="1" applyAlignment="1">
      <alignment horizontal="left"/>
    </xf>
    <xf numFmtId="165" fontId="22" fillId="0" borderId="0" xfId="3" applyNumberFormat="1" applyFont="1" applyBorder="1" applyAlignment="1"/>
    <xf numFmtId="43" fontId="6" fillId="0" borderId="0" xfId="3" applyFont="1" applyBorder="1" applyAlignment="1"/>
    <xf numFmtId="43" fontId="22" fillId="0" borderId="0" xfId="3" applyFont="1" applyBorder="1" applyAlignment="1">
      <alignment horizontal="center"/>
    </xf>
    <xf numFmtId="165" fontId="35" fillId="0" borderId="0" xfId="3" applyNumberFormat="1" applyFont="1" applyBorder="1" applyAlignment="1"/>
    <xf numFmtId="166" fontId="6" fillId="0" borderId="0" xfId="4" applyNumberFormat="1" applyFont="1" applyBorder="1" applyAlignment="1">
      <alignment horizontal="left"/>
    </xf>
    <xf numFmtId="43" fontId="34" fillId="0" borderId="0" xfId="3" applyFont="1" applyBorder="1"/>
    <xf numFmtId="43" fontId="34" fillId="0" borderId="0" xfId="3" applyFont="1" applyBorder="1" applyAlignment="1"/>
    <xf numFmtId="14" fontId="6" fillId="0" borderId="72" xfId="2" applyNumberFormat="1" applyFont="1" applyBorder="1"/>
    <xf numFmtId="0" fontId="27" fillId="0" borderId="0" xfId="5" applyFont="1" applyAlignment="1">
      <alignment horizontal="center"/>
    </xf>
    <xf numFmtId="0" fontId="21" fillId="0" borderId="0" xfId="5" applyFont="1"/>
    <xf numFmtId="0" fontId="27" fillId="0" borderId="0" xfId="5" applyFont="1"/>
    <xf numFmtId="0" fontId="26" fillId="0" borderId="0" xfId="5" applyFont="1" applyAlignment="1">
      <alignment horizontal="center"/>
    </xf>
    <xf numFmtId="0" fontId="27" fillId="0" borderId="1" xfId="5" applyFont="1" applyBorder="1"/>
    <xf numFmtId="0" fontId="27" fillId="0" borderId="2" xfId="5" applyFont="1" applyBorder="1"/>
    <xf numFmtId="14" fontId="44" fillId="0" borderId="80" xfId="5" quotePrefix="1" applyNumberFormat="1" applyFont="1" applyBorder="1"/>
    <xf numFmtId="14" fontId="26" fillId="0" borderId="3" xfId="5" applyNumberFormat="1" applyFont="1" applyBorder="1"/>
    <xf numFmtId="0" fontId="27" fillId="0" borderId="4" xfId="5" applyFont="1" applyBorder="1"/>
    <xf numFmtId="14" fontId="44" fillId="0" borderId="81" xfId="5" quotePrefix="1" applyNumberFormat="1" applyFont="1" applyBorder="1"/>
    <xf numFmtId="14" fontId="26" fillId="0" borderId="5" xfId="5" applyNumberFormat="1" applyFont="1" applyBorder="1"/>
    <xf numFmtId="0" fontId="27" fillId="0" borderId="82" xfId="5" applyFont="1" applyBorder="1"/>
    <xf numFmtId="0" fontId="27" fillId="0" borderId="83" xfId="5" applyFont="1" applyBorder="1" applyAlignment="1">
      <alignment horizontal="center"/>
    </xf>
    <xf numFmtId="0" fontId="27" fillId="0" borderId="83" xfId="5" applyFont="1" applyBorder="1"/>
    <xf numFmtId="0" fontId="27" fillId="0" borderId="78" xfId="5" applyFont="1" applyBorder="1" applyAlignment="1">
      <alignment horizontal="center"/>
    </xf>
    <xf numFmtId="0" fontId="27" fillId="0" borderId="3" xfId="5" applyFont="1" applyBorder="1"/>
    <xf numFmtId="0" fontId="27" fillId="0" borderId="5" xfId="5" applyFont="1" applyBorder="1"/>
    <xf numFmtId="0" fontId="30" fillId="0" borderId="0" xfId="5" applyFont="1"/>
    <xf numFmtId="0" fontId="27" fillId="0" borderId="78" xfId="5" applyFont="1" applyBorder="1"/>
    <xf numFmtId="0" fontId="30" fillId="0" borderId="2" xfId="5" applyFont="1" applyBorder="1"/>
    <xf numFmtId="0" fontId="45" fillId="0" borderId="2" xfId="5" applyFont="1" applyBorder="1"/>
    <xf numFmtId="0" fontId="27" fillId="0" borderId="84" xfId="5" applyFont="1" applyBorder="1"/>
    <xf numFmtId="14" fontId="44" fillId="0" borderId="0" xfId="5" quotePrefix="1" applyNumberFormat="1" applyFont="1"/>
    <xf numFmtId="0" fontId="27" fillId="0" borderId="77" xfId="5" applyFont="1" applyBorder="1"/>
    <xf numFmtId="0" fontId="26" fillId="0" borderId="85" xfId="5" applyFont="1" applyBorder="1" applyAlignment="1">
      <alignment horizontal="center"/>
    </xf>
    <xf numFmtId="0" fontId="26" fillId="0" borderId="2" xfId="5" applyFont="1" applyBorder="1" applyAlignment="1">
      <alignment horizontal="center"/>
    </xf>
    <xf numFmtId="0" fontId="26" fillId="0" borderId="86" xfId="5" applyFont="1" applyBorder="1" applyAlignment="1">
      <alignment horizontal="center"/>
    </xf>
    <xf numFmtId="0" fontId="46" fillId="0" borderId="87" xfId="5" applyFont="1" applyBorder="1" applyAlignment="1">
      <alignment horizontal="center"/>
    </xf>
    <xf numFmtId="0" fontId="46" fillId="0" borderId="88" xfId="5" applyFont="1" applyBorder="1" applyAlignment="1">
      <alignment horizontal="center"/>
    </xf>
    <xf numFmtId="0" fontId="47" fillId="0" borderId="87" xfId="5" applyFont="1" applyBorder="1" applyAlignment="1">
      <alignment horizontal="center"/>
    </xf>
    <xf numFmtId="43" fontId="47" fillId="0" borderId="87" xfId="3" applyFont="1" applyBorder="1" applyAlignment="1"/>
    <xf numFmtId="43" fontId="47" fillId="0" borderId="87" xfId="3" applyFont="1" applyBorder="1" applyAlignment="1">
      <alignment horizontal="right"/>
    </xf>
    <xf numFmtId="0" fontId="46" fillId="0" borderId="89" xfId="5" applyFont="1" applyBorder="1" applyAlignment="1">
      <alignment horizontal="center"/>
    </xf>
    <xf numFmtId="0" fontId="46" fillId="0" borderId="0" xfId="5" applyFont="1" applyAlignment="1">
      <alignment horizontal="center"/>
    </xf>
    <xf numFmtId="0" fontId="47" fillId="0" borderId="87" xfId="5" applyFont="1" applyBorder="1" applyAlignment="1">
      <alignment horizontal="left"/>
    </xf>
    <xf numFmtId="43" fontId="50" fillId="0" borderId="78" xfId="5" applyNumberFormat="1" applyFont="1" applyBorder="1"/>
    <xf numFmtId="0" fontId="4" fillId="0" borderId="0" xfId="5" applyFont="1"/>
    <xf numFmtId="0" fontId="46" fillId="0" borderId="1" xfId="5" applyFont="1" applyBorder="1"/>
    <xf numFmtId="0" fontId="51" fillId="0" borderId="2" xfId="5" applyFont="1" applyBorder="1"/>
    <xf numFmtId="0" fontId="46" fillId="0" borderId="2" xfId="5" applyFont="1" applyBorder="1"/>
    <xf numFmtId="0" fontId="46" fillId="0" borderId="3" xfId="5" applyFont="1" applyBorder="1"/>
    <xf numFmtId="0" fontId="51" fillId="0" borderId="4" xfId="5" applyFont="1" applyBorder="1"/>
    <xf numFmtId="0" fontId="46" fillId="0" borderId="0" xfId="5" applyFont="1"/>
    <xf numFmtId="0" fontId="46" fillId="0" borderId="5" xfId="5" applyFont="1" applyBorder="1"/>
    <xf numFmtId="0" fontId="46" fillId="0" borderId="4" xfId="5" applyFont="1" applyBorder="1"/>
    <xf numFmtId="0" fontId="46" fillId="0" borderId="5" xfId="5" applyFont="1" applyBorder="1" applyAlignment="1">
      <alignment horizontal="center"/>
    </xf>
    <xf numFmtId="0" fontId="51" fillId="0" borderId="0" xfId="5" applyFont="1" applyAlignment="1">
      <alignment horizontal="center"/>
    </xf>
    <xf numFmtId="0" fontId="51" fillId="0" borderId="0" xfId="5" applyFont="1"/>
    <xf numFmtId="0" fontId="1" fillId="0" borderId="4" xfId="5" applyFont="1" applyBorder="1"/>
    <xf numFmtId="0" fontId="1" fillId="0" borderId="0" xfId="5" applyFont="1"/>
    <xf numFmtId="0" fontId="46" fillId="0" borderId="82" xfId="5" applyFont="1" applyBorder="1"/>
    <xf numFmtId="0" fontId="46" fillId="0" borderId="83" xfId="5" applyFont="1" applyBorder="1"/>
    <xf numFmtId="0" fontId="51" fillId="0" borderId="83" xfId="5" applyFont="1" applyBorder="1"/>
    <xf numFmtId="0" fontId="46" fillId="0" borderId="78" xfId="5" applyFont="1" applyBorder="1"/>
    <xf numFmtId="0" fontId="51" fillId="0" borderId="1" xfId="5" applyFont="1" applyBorder="1"/>
    <xf numFmtId="49" fontId="1" fillId="0" borderId="91" xfId="5" applyNumberFormat="1" applyFont="1" applyBorder="1" applyAlignment="1">
      <alignment horizontal="left"/>
    </xf>
    <xf numFmtId="14" fontId="46" fillId="0" borderId="5" xfId="5" applyNumberFormat="1" applyFont="1" applyBorder="1" applyAlignment="1">
      <alignment horizontal="left"/>
    </xf>
    <xf numFmtId="0" fontId="50" fillId="0" borderId="0" xfId="5" applyFont="1" applyAlignment="1">
      <alignment horizontal="center"/>
    </xf>
    <xf numFmtId="43" fontId="55" fillId="0" borderId="91" xfId="5" applyNumberFormat="1" applyFont="1" applyBorder="1"/>
    <xf numFmtId="43" fontId="56" fillId="0" borderId="5" xfId="5" applyNumberFormat="1" applyFont="1" applyBorder="1"/>
    <xf numFmtId="0" fontId="6" fillId="0" borderId="0" xfId="5" applyFont="1"/>
    <xf numFmtId="0" fontId="6" fillId="0" borderId="0" xfId="5" applyFont="1" applyAlignment="1">
      <alignment horizontal="center"/>
    </xf>
    <xf numFmtId="0" fontId="6" fillId="0" borderId="5" xfId="5" applyFont="1" applyBorder="1" applyAlignment="1">
      <alignment horizontal="center"/>
    </xf>
    <xf numFmtId="0" fontId="9" fillId="0" borderId="0" xfId="5" applyFont="1"/>
    <xf numFmtId="0" fontId="6" fillId="0" borderId="4" xfId="5" applyFont="1" applyBorder="1"/>
    <xf numFmtId="0" fontId="6" fillId="0" borderId="5" xfId="5" applyFont="1" applyBorder="1"/>
    <xf numFmtId="0" fontId="11" fillId="0" borderId="0" xfId="5" applyFont="1"/>
    <xf numFmtId="0" fontId="6" fillId="0" borderId="94" xfId="5" applyFont="1" applyBorder="1"/>
    <xf numFmtId="0" fontId="6" fillId="0" borderId="95" xfId="5" applyFont="1" applyBorder="1"/>
    <xf numFmtId="14" fontId="57" fillId="0" borderId="96" xfId="5" applyNumberFormat="1" applyFont="1" applyBorder="1"/>
    <xf numFmtId="0" fontId="6" fillId="0" borderId="97" xfId="5" applyFont="1" applyBorder="1"/>
    <xf numFmtId="0" fontId="6" fillId="0" borderId="90" xfId="5" applyFont="1" applyBorder="1"/>
    <xf numFmtId="0" fontId="6" fillId="0" borderId="91" xfId="5" applyFont="1" applyBorder="1"/>
    <xf numFmtId="0" fontId="9" fillId="0" borderId="92" xfId="5" applyFont="1" applyBorder="1" applyAlignment="1">
      <alignment horizontal="center" vertical="center" wrapText="1"/>
    </xf>
    <xf numFmtId="0" fontId="9" fillId="0" borderId="89" xfId="5" applyFont="1" applyBorder="1" applyAlignment="1">
      <alignment horizontal="center" vertical="center"/>
    </xf>
    <xf numFmtId="0" fontId="9" fillId="0" borderId="99" xfId="5" applyFont="1" applyBorder="1" applyAlignment="1">
      <alignment horizontal="center" vertical="center"/>
    </xf>
    <xf numFmtId="0" fontId="9" fillId="0" borderId="93" xfId="5" applyFont="1" applyBorder="1" applyAlignment="1">
      <alignment vertical="center"/>
    </xf>
    <xf numFmtId="0" fontId="9" fillId="0" borderId="0" xfId="5" applyFont="1" applyAlignment="1">
      <alignment vertical="center"/>
    </xf>
    <xf numFmtId="0" fontId="6" fillId="0" borderId="92" xfId="5" applyFont="1" applyBorder="1" applyAlignment="1">
      <alignment horizontal="center"/>
    </xf>
    <xf numFmtId="0" fontId="58" fillId="2" borderId="89" xfId="5" applyFont="1" applyFill="1" applyBorder="1" applyAlignment="1">
      <alignment horizontal="center"/>
    </xf>
    <xf numFmtId="0" fontId="58" fillId="0" borderId="100" xfId="5" applyFont="1" applyBorder="1" applyAlignment="1">
      <alignment horizontal="center"/>
    </xf>
    <xf numFmtId="0" fontId="58" fillId="0" borderId="89" xfId="5" applyFont="1" applyBorder="1" applyAlignment="1">
      <alignment horizontal="center" vertical="center"/>
    </xf>
    <xf numFmtId="43" fontId="6" fillId="2" borderId="93" xfId="3" applyFont="1" applyFill="1" applyBorder="1" applyAlignment="1"/>
    <xf numFmtId="0" fontId="6" fillId="2" borderId="93" xfId="5" applyFont="1" applyFill="1" applyBorder="1"/>
    <xf numFmtId="0" fontId="6" fillId="0" borderId="89" xfId="5" applyFont="1" applyBorder="1" applyAlignment="1">
      <alignment horizontal="center"/>
    </xf>
    <xf numFmtId="0" fontId="6" fillId="0" borderId="93" xfId="5" applyFont="1" applyBorder="1"/>
    <xf numFmtId="0" fontId="27" fillId="2" borderId="89" xfId="5" applyFont="1" applyFill="1" applyBorder="1" applyAlignment="1">
      <alignment horizontal="center"/>
    </xf>
    <xf numFmtId="3" fontId="27" fillId="2" borderId="89" xfId="5" applyNumberFormat="1" applyFont="1" applyFill="1" applyBorder="1" applyAlignment="1">
      <alignment horizontal="center"/>
    </xf>
    <xf numFmtId="0" fontId="27" fillId="2" borderId="89" xfId="5" applyFont="1" applyFill="1" applyBorder="1" applyAlignment="1">
      <alignment horizontal="left"/>
    </xf>
    <xf numFmtId="0" fontId="15" fillId="0" borderId="92" xfId="5" applyFont="1" applyBorder="1" applyAlignment="1">
      <alignment horizontal="center"/>
    </xf>
    <xf numFmtId="0" fontId="15" fillId="0" borderId="0" xfId="5" applyFont="1"/>
    <xf numFmtId="0" fontId="27" fillId="0" borderId="89" xfId="5" applyFont="1" applyBorder="1" applyAlignment="1">
      <alignment horizontal="center"/>
    </xf>
    <xf numFmtId="0" fontId="27" fillId="0" borderId="100" xfId="5" applyFont="1" applyBorder="1" applyAlignment="1">
      <alignment horizontal="left"/>
    </xf>
    <xf numFmtId="0" fontId="9" fillId="0" borderId="89" xfId="5" applyFont="1" applyBorder="1" applyAlignment="1">
      <alignment horizontal="center"/>
    </xf>
    <xf numFmtId="43" fontId="6" fillId="0" borderId="93" xfId="5" applyNumberFormat="1" applyFont="1" applyBorder="1"/>
    <xf numFmtId="0" fontId="6" fillId="0" borderId="0" xfId="5" applyFont="1" applyAlignment="1">
      <alignment horizontal="right"/>
    </xf>
    <xf numFmtId="0" fontId="7" fillId="0" borderId="0" xfId="5" applyFont="1"/>
    <xf numFmtId="0" fontId="6" fillId="0" borderId="82" xfId="5" applyFont="1" applyBorder="1"/>
    <xf numFmtId="0" fontId="6" fillId="0" borderId="83" xfId="5" applyFont="1" applyBorder="1"/>
    <xf numFmtId="0" fontId="9" fillId="0" borderId="83" xfId="5" applyFont="1" applyBorder="1" applyAlignment="1">
      <alignment horizontal="center"/>
    </xf>
    <xf numFmtId="0" fontId="9" fillId="0" borderId="78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1" fillId="0" borderId="0" xfId="5"/>
    <xf numFmtId="0" fontId="50" fillId="0" borderId="0" xfId="5" applyFont="1"/>
    <xf numFmtId="0" fontId="26" fillId="0" borderId="0" xfId="5" applyFont="1"/>
    <xf numFmtId="0" fontId="27" fillId="0" borderId="0" xfId="5" applyFont="1" applyAlignment="1">
      <alignment horizontal="right"/>
    </xf>
    <xf numFmtId="167" fontId="27" fillId="0" borderId="5" xfId="5" applyNumberFormat="1" applyFont="1" applyBorder="1" applyAlignment="1">
      <alignment horizontal="left"/>
    </xf>
    <xf numFmtId="0" fontId="54" fillId="0" borderId="0" xfId="5" applyFont="1"/>
    <xf numFmtId="0" fontId="45" fillId="0" borderId="5" xfId="5" applyFont="1" applyBorder="1"/>
    <xf numFmtId="14" fontId="26" fillId="0" borderId="5" xfId="5" applyNumberFormat="1" applyFont="1" applyBorder="1" applyAlignment="1">
      <alignment horizontal="center"/>
    </xf>
    <xf numFmtId="0" fontId="52" fillId="0" borderId="87" xfId="5" applyFont="1" applyBorder="1" applyAlignment="1">
      <alignment horizontal="center" wrapText="1"/>
    </xf>
    <xf numFmtId="0" fontId="50" fillId="0" borderId="103" xfId="5" applyFont="1" applyBorder="1" applyAlignment="1">
      <alignment horizontal="center" wrapText="1"/>
    </xf>
    <xf numFmtId="0" fontId="50" fillId="0" borderId="87" xfId="5" applyFont="1" applyBorder="1" applyAlignment="1">
      <alignment horizontal="center" vertical="center"/>
    </xf>
    <xf numFmtId="0" fontId="50" fillId="0" borderId="103" xfId="5" applyFont="1" applyBorder="1" applyAlignment="1">
      <alignment horizontal="center" vertical="center"/>
    </xf>
    <xf numFmtId="0" fontId="26" fillId="0" borderId="104" xfId="5" applyFont="1" applyBorder="1" applyAlignment="1">
      <alignment horizontal="center" vertical="center"/>
    </xf>
    <xf numFmtId="0" fontId="26" fillId="0" borderId="87" xfId="5" applyFont="1" applyBorder="1" applyAlignment="1">
      <alignment horizontal="center" wrapText="1"/>
    </xf>
    <xf numFmtId="0" fontId="46" fillId="0" borderId="105" xfId="5" applyFont="1" applyBorder="1" applyAlignment="1">
      <alignment horizontal="center"/>
    </xf>
    <xf numFmtId="0" fontId="46" fillId="0" borderId="100" xfId="5" applyFont="1" applyBorder="1" applyAlignment="1">
      <alignment horizontal="center"/>
    </xf>
    <xf numFmtId="43" fontId="46" fillId="3" borderId="100" xfId="3" applyFont="1" applyFill="1" applyBorder="1" applyAlignment="1"/>
    <xf numFmtId="43" fontId="46" fillId="3" borderId="106" xfId="3" applyFont="1" applyFill="1" applyBorder="1" applyAlignment="1">
      <alignment horizontal="right"/>
    </xf>
    <xf numFmtId="43" fontId="0" fillId="0" borderId="0" xfId="3" applyFont="1"/>
    <xf numFmtId="0" fontId="46" fillId="0" borderId="92" xfId="5" applyFont="1" applyBorder="1" applyAlignment="1">
      <alignment horizontal="center"/>
    </xf>
    <xf numFmtId="43" fontId="46" fillId="3" borderId="89" xfId="3" applyFont="1" applyFill="1" applyBorder="1" applyAlignment="1"/>
    <xf numFmtId="43" fontId="41" fillId="0" borderId="0" xfId="5" applyNumberFormat="1"/>
    <xf numFmtId="0" fontId="27" fillId="0" borderId="92" xfId="5" applyFont="1" applyBorder="1" applyAlignment="1">
      <alignment horizontal="center"/>
    </xf>
    <xf numFmtId="0" fontId="27" fillId="0" borderId="89" xfId="5" applyFont="1" applyBorder="1" applyAlignment="1">
      <alignment horizontal="center" vertical="center"/>
    </xf>
    <xf numFmtId="43" fontId="27" fillId="0" borderId="89" xfId="3" applyFont="1" applyBorder="1" applyAlignment="1"/>
    <xf numFmtId="43" fontId="27" fillId="0" borderId="93" xfId="3" applyFont="1" applyBorder="1" applyAlignment="1">
      <alignment horizontal="right"/>
    </xf>
    <xf numFmtId="0" fontId="46" fillId="0" borderId="103" xfId="5" applyFont="1" applyBorder="1" applyAlignment="1">
      <alignment horizontal="center"/>
    </xf>
    <xf numFmtId="0" fontId="46" fillId="0" borderId="109" xfId="5" applyFont="1" applyBorder="1" applyAlignment="1">
      <alignment horizontal="center"/>
    </xf>
    <xf numFmtId="43" fontId="27" fillId="0" borderId="110" xfId="3" applyFont="1" applyBorder="1" applyAlignment="1">
      <alignment horizontal="center"/>
    </xf>
    <xf numFmtId="43" fontId="50" fillId="0" borderId="87" xfId="3" applyFont="1" applyBorder="1"/>
    <xf numFmtId="43" fontId="27" fillId="0" borderId="3" xfId="5" applyNumberFormat="1" applyFont="1" applyBorder="1"/>
    <xf numFmtId="0" fontId="46" fillId="0" borderId="4" xfId="5" applyFont="1" applyBorder="1" applyAlignment="1">
      <alignment horizontal="left"/>
    </xf>
    <xf numFmtId="0" fontId="46" fillId="0" borderId="0" xfId="5" applyFont="1" applyAlignment="1">
      <alignment horizontal="left"/>
    </xf>
    <xf numFmtId="0" fontId="46" fillId="0" borderId="90" xfId="5" applyFont="1" applyBorder="1" applyAlignment="1">
      <alignment horizontal="center"/>
    </xf>
    <xf numFmtId="0" fontId="46" fillId="0" borderId="5" xfId="5" applyFont="1" applyBorder="1" applyAlignment="1">
      <alignment horizontal="left"/>
    </xf>
    <xf numFmtId="0" fontId="64" fillId="0" borderId="0" xfId="5" applyFont="1" applyAlignment="1">
      <alignment horizontal="center"/>
    </xf>
    <xf numFmtId="0" fontId="41" fillId="0" borderId="0" xfId="5" applyAlignment="1">
      <alignment horizontal="center"/>
    </xf>
    <xf numFmtId="0" fontId="3" fillId="0" borderId="0" xfId="5" applyFont="1" applyAlignment="1">
      <alignment horizontal="center"/>
    </xf>
    <xf numFmtId="0" fontId="16" fillId="0" borderId="89" xfId="5" applyFont="1" applyBorder="1" applyAlignment="1">
      <alignment horizontal="center" vertical="center" wrapText="1"/>
    </xf>
    <xf numFmtId="0" fontId="16" fillId="0" borderId="93" xfId="5" applyFont="1" applyBorder="1" applyAlignment="1">
      <alignment horizontal="center" vertical="center" wrapText="1"/>
    </xf>
    <xf numFmtId="0" fontId="16" fillId="0" borderId="0" xfId="5" applyFont="1" applyAlignment="1">
      <alignment horizontal="center" vertical="center" wrapText="1"/>
    </xf>
    <xf numFmtId="0" fontId="3" fillId="0" borderId="0" xfId="5" applyFont="1" applyAlignment="1">
      <alignment vertical="center" wrapText="1"/>
    </xf>
    <xf numFmtId="0" fontId="41" fillId="0" borderId="116" xfId="5" applyBorder="1" applyAlignment="1">
      <alignment vertical="center" wrapText="1"/>
    </xf>
    <xf numFmtId="0" fontId="46" fillId="0" borderId="97" xfId="5" applyFont="1" applyBorder="1" applyAlignment="1">
      <alignment horizontal="center" vertical="center"/>
    </xf>
    <xf numFmtId="43" fontId="46" fillId="0" borderId="89" xfId="3" applyFont="1" applyBorder="1" applyAlignment="1"/>
    <xf numFmtId="43" fontId="46" fillId="0" borderId="93" xfId="3" applyFont="1" applyBorder="1" applyAlignment="1"/>
    <xf numFmtId="43" fontId="46" fillId="0" borderId="0" xfId="3" applyFont="1" applyAlignment="1"/>
    <xf numFmtId="49" fontId="46" fillId="0" borderId="0" xfId="5" applyNumberFormat="1" applyFont="1" applyAlignment="1">
      <alignment horizontal="center"/>
    </xf>
    <xf numFmtId="49" fontId="27" fillId="0" borderId="0" xfId="5" applyNumberFormat="1" applyFont="1" applyAlignment="1">
      <alignment horizontal="center"/>
    </xf>
    <xf numFmtId="49" fontId="27" fillId="0" borderId="0" xfId="1" applyNumberFormat="1" applyFont="1" applyBorder="1" applyAlignment="1">
      <alignment horizontal="center" vertical="center"/>
    </xf>
    <xf numFmtId="0" fontId="4" fillId="0" borderId="116" xfId="5" applyFont="1" applyBorder="1" applyAlignment="1">
      <alignment vertical="center" wrapText="1"/>
    </xf>
    <xf numFmtId="0" fontId="58" fillId="0" borderId="97" xfId="5" applyFont="1" applyBorder="1" applyAlignment="1">
      <alignment horizontal="center" vertical="center"/>
    </xf>
    <xf numFmtId="0" fontId="58" fillId="0" borderId="89" xfId="5" applyFont="1" applyBorder="1" applyAlignment="1">
      <alignment horizontal="center"/>
    </xf>
    <xf numFmtId="43" fontId="58" fillId="0" borderId="89" xfId="3" applyFont="1" applyBorder="1" applyAlignment="1"/>
    <xf numFmtId="43" fontId="58" fillId="0" borderId="93" xfId="3" applyFont="1" applyBorder="1" applyAlignment="1"/>
    <xf numFmtId="49" fontId="27" fillId="0" borderId="0" xfId="1" applyNumberFormat="1" applyFont="1" applyAlignment="1">
      <alignment horizontal="center" vertical="center"/>
    </xf>
    <xf numFmtId="43" fontId="46" fillId="0" borderId="0" xfId="3" applyFont="1" applyAlignment="1">
      <alignment horizontal="center"/>
    </xf>
    <xf numFmtId="0" fontId="4" fillId="0" borderId="118" xfId="5" applyFont="1" applyBorder="1" applyAlignment="1">
      <alignment vertical="center" wrapText="1"/>
    </xf>
    <xf numFmtId="0" fontId="58" fillId="0" borderId="119" xfId="5" applyFont="1" applyBorder="1" applyAlignment="1">
      <alignment horizontal="center" vertical="center"/>
    </xf>
    <xf numFmtId="0" fontId="58" fillId="0" borderId="99" xfId="5" applyFont="1" applyBorder="1" applyAlignment="1">
      <alignment horizontal="center"/>
    </xf>
    <xf numFmtId="43" fontId="27" fillId="0" borderId="120" xfId="3" applyFont="1" applyBorder="1" applyAlignment="1">
      <alignment horizontal="center"/>
    </xf>
    <xf numFmtId="43" fontId="58" fillId="0" borderId="117" xfId="3" applyFont="1" applyBorder="1" applyAlignment="1"/>
    <xf numFmtId="43" fontId="58" fillId="0" borderId="0" xfId="3" applyFont="1" applyAlignment="1"/>
    <xf numFmtId="43" fontId="64" fillId="0" borderId="87" xfId="3" applyFont="1" applyBorder="1" applyAlignment="1"/>
    <xf numFmtId="43" fontId="64" fillId="0" borderId="0" xfId="3" applyFont="1" applyAlignment="1"/>
    <xf numFmtId="0" fontId="41" fillId="0" borderId="4" xfId="5" applyBorder="1"/>
    <xf numFmtId="0" fontId="41" fillId="0" borderId="5" xfId="5" applyBorder="1"/>
    <xf numFmtId="0" fontId="3" fillId="0" borderId="0" xfId="5" applyFont="1" applyAlignment="1">
      <alignment horizontal="left"/>
    </xf>
    <xf numFmtId="0" fontId="65" fillId="0" borderId="0" xfId="5" applyFont="1" applyAlignment="1">
      <alignment horizontal="center"/>
    </xf>
    <xf numFmtId="0" fontId="13" fillId="0" borderId="4" xfId="5" applyFont="1" applyBorder="1"/>
    <xf numFmtId="0" fontId="66" fillId="0" borderId="0" xfId="5" applyFont="1"/>
    <xf numFmtId="0" fontId="13" fillId="0" borderId="0" xfId="5" applyFont="1"/>
    <xf numFmtId="0" fontId="13" fillId="0" borderId="5" xfId="5" applyFont="1" applyBorder="1"/>
    <xf numFmtId="43" fontId="13" fillId="0" borderId="0" xfId="5" applyNumberFormat="1" applyFont="1"/>
    <xf numFmtId="0" fontId="66" fillId="0" borderId="4" xfId="5" applyFont="1" applyBorder="1"/>
    <xf numFmtId="0" fontId="13" fillId="0" borderId="89" xfId="5" applyFont="1" applyBorder="1"/>
    <xf numFmtId="0" fontId="41" fillId="0" borderId="89" xfId="5" applyBorder="1"/>
    <xf numFmtId="0" fontId="13" fillId="0" borderId="0" xfId="5" applyFont="1" applyAlignment="1">
      <alignment horizontal="center"/>
    </xf>
    <xf numFmtId="0" fontId="13" fillId="0" borderId="5" xfId="5" applyFont="1" applyBorder="1" applyAlignment="1">
      <alignment horizontal="center"/>
    </xf>
    <xf numFmtId="0" fontId="3" fillId="0" borderId="4" xfId="5" applyFont="1" applyBorder="1"/>
    <xf numFmtId="0" fontId="3" fillId="0" borderId="0" xfId="5" applyFont="1"/>
    <xf numFmtId="0" fontId="3" fillId="0" borderId="5" xfId="5" applyFont="1" applyBorder="1"/>
    <xf numFmtId="0" fontId="41" fillId="0" borderId="82" xfId="5" applyBorder="1"/>
    <xf numFmtId="0" fontId="41" fillId="0" borderId="83" xfId="5" applyBorder="1"/>
    <xf numFmtId="0" fontId="41" fillId="0" borderId="78" xfId="5" applyBorder="1"/>
    <xf numFmtId="0" fontId="67" fillId="0" borderId="3" xfId="5" applyFont="1" applyBorder="1" applyAlignment="1">
      <alignment horizontal="right"/>
    </xf>
    <xf numFmtId="0" fontId="46" fillId="0" borderId="4" xfId="5" applyFont="1" applyBorder="1" applyAlignment="1">
      <alignment horizontal="center"/>
    </xf>
    <xf numFmtId="0" fontId="61" fillId="0" borderId="4" xfId="5" applyFont="1" applyBorder="1"/>
    <xf numFmtId="0" fontId="68" fillId="0" borderId="0" xfId="5" applyFont="1"/>
    <xf numFmtId="0" fontId="52" fillId="0" borderId="0" xfId="5" applyFont="1" applyAlignment="1">
      <alignment horizontal="center" vertical="center" wrapText="1"/>
    </xf>
    <xf numFmtId="14" fontId="46" fillId="0" borderId="5" xfId="5" quotePrefix="1" applyNumberFormat="1" applyFont="1" applyBorder="1" applyAlignment="1">
      <alignment horizontal="left"/>
    </xf>
    <xf numFmtId="14" fontId="46" fillId="0" borderId="0" xfId="5" applyNumberFormat="1" applyFont="1" applyAlignment="1">
      <alignment horizontal="left"/>
    </xf>
    <xf numFmtId="0" fontId="50" fillId="0" borderId="78" xfId="5" quotePrefix="1" applyFont="1" applyBorder="1" applyAlignment="1">
      <alignment horizontal="left"/>
    </xf>
    <xf numFmtId="14" fontId="50" fillId="0" borderId="5" xfId="5" quotePrefix="1" applyNumberFormat="1" applyFont="1" applyBorder="1" applyAlignment="1">
      <alignment horizontal="left"/>
    </xf>
    <xf numFmtId="0" fontId="50" fillId="0" borderId="104" xfId="5" applyFont="1" applyBorder="1" applyAlignment="1">
      <alignment horizontal="center" vertical="center" wrapText="1"/>
    </xf>
    <xf numFmtId="43" fontId="46" fillId="0" borderId="100" xfId="5" applyNumberFormat="1" applyFont="1" applyBorder="1" applyAlignment="1">
      <alignment horizontal="center"/>
    </xf>
    <xf numFmtId="3" fontId="46" fillId="0" borderId="106" xfId="5" applyNumberFormat="1" applyFont="1" applyBorder="1" applyAlignment="1">
      <alignment horizontal="center"/>
    </xf>
    <xf numFmtId="2" fontId="41" fillId="0" borderId="0" xfId="5" applyNumberFormat="1"/>
    <xf numFmtId="2" fontId="4" fillId="0" borderId="0" xfId="5" applyNumberFormat="1" applyFont="1"/>
    <xf numFmtId="0" fontId="58" fillId="0" borderId="92" xfId="5" applyFont="1" applyBorder="1" applyAlignment="1">
      <alignment horizontal="center"/>
    </xf>
    <xf numFmtId="43" fontId="58" fillId="0" borderId="100" xfId="5" applyNumberFormat="1" applyFont="1" applyBorder="1" applyAlignment="1">
      <alignment horizontal="center"/>
    </xf>
    <xf numFmtId="3" fontId="58" fillId="0" borderId="106" xfId="5" applyNumberFormat="1" applyFont="1" applyBorder="1" applyAlignment="1">
      <alignment horizontal="center"/>
    </xf>
    <xf numFmtId="14" fontId="46" fillId="0" borderId="0" xfId="5" quotePrefix="1" applyNumberFormat="1" applyFont="1" applyAlignment="1">
      <alignment horizontal="center" vertical="center"/>
    </xf>
    <xf numFmtId="14" fontId="46" fillId="0" borderId="5" xfId="5" quotePrefix="1" applyNumberFormat="1" applyFont="1" applyBorder="1" applyAlignment="1">
      <alignment horizontal="center" vertical="center"/>
    </xf>
    <xf numFmtId="168" fontId="46" fillId="0" borderId="0" xfId="5" applyNumberFormat="1" applyFont="1" applyAlignment="1">
      <alignment horizontal="center"/>
    </xf>
    <xf numFmtId="167" fontId="46" fillId="0" borderId="0" xfId="5" applyNumberFormat="1" applyFont="1" applyAlignment="1">
      <alignment horizontal="center"/>
    </xf>
    <xf numFmtId="167" fontId="46" fillId="0" borderId="5" xfId="5" applyNumberFormat="1" applyFont="1" applyBorder="1" applyAlignment="1">
      <alignment horizontal="center"/>
    </xf>
    <xf numFmtId="0" fontId="53" fillId="0" borderId="0" xfId="5" applyFont="1"/>
    <xf numFmtId="0" fontId="67" fillId="0" borderId="0" xfId="5" applyFont="1" applyAlignment="1">
      <alignment horizontal="right"/>
    </xf>
    <xf numFmtId="49" fontId="41" fillId="0" borderId="0" xfId="5" applyNumberFormat="1"/>
    <xf numFmtId="0" fontId="60" fillId="0" borderId="0" xfId="5" applyFont="1"/>
    <xf numFmtId="0" fontId="61" fillId="0" borderId="0" xfId="5" applyFont="1"/>
    <xf numFmtId="14" fontId="46" fillId="0" borderId="1" xfId="5" applyNumberFormat="1" applyFont="1" applyBorder="1"/>
    <xf numFmtId="14" fontId="46" fillId="0" borderId="2" xfId="5" applyNumberFormat="1" applyFont="1" applyBorder="1"/>
    <xf numFmtId="14" fontId="46" fillId="0" borderId="3" xfId="5" applyNumberFormat="1" applyFont="1" applyBorder="1" applyAlignment="1">
      <alignment horizontal="left"/>
    </xf>
    <xf numFmtId="0" fontId="46" fillId="0" borderId="82" xfId="5" applyFont="1" applyBorder="1" applyAlignment="1">
      <alignment vertical="center"/>
    </xf>
    <xf numFmtId="14" fontId="46" fillId="0" borderId="83" xfId="5" quotePrefix="1" applyNumberFormat="1" applyFont="1" applyBorder="1" applyAlignment="1">
      <alignment vertical="center"/>
    </xf>
    <xf numFmtId="0" fontId="51" fillId="0" borderId="78" xfId="5" applyFont="1" applyBorder="1"/>
    <xf numFmtId="0" fontId="54" fillId="0" borderId="1" xfId="5" applyFont="1" applyBorder="1" applyAlignment="1">
      <alignment horizontal="center" vertical="center" wrapText="1"/>
    </xf>
    <xf numFmtId="0" fontId="50" fillId="0" borderId="1" xfId="5" applyFont="1" applyBorder="1" applyAlignment="1">
      <alignment horizontal="center" vertical="center" wrapText="1"/>
    </xf>
    <xf numFmtId="0" fontId="50" fillId="0" borderId="85" xfId="5" applyFont="1" applyBorder="1" applyAlignment="1">
      <alignment horizontal="center" vertical="center"/>
    </xf>
    <xf numFmtId="0" fontId="50" fillId="0" borderId="85" xfId="5" applyFont="1" applyBorder="1" applyAlignment="1">
      <alignment vertical="center"/>
    </xf>
    <xf numFmtId="0" fontId="50" fillId="0" borderId="3" xfId="5" applyFont="1" applyBorder="1" applyAlignment="1">
      <alignment horizontal="center" vertical="center"/>
    </xf>
    <xf numFmtId="0" fontId="46" fillId="0" borderId="122" xfId="5" applyFont="1" applyBorder="1" applyAlignment="1">
      <alignment horizontal="center"/>
    </xf>
    <xf numFmtId="0" fontId="46" fillId="0" borderId="88" xfId="5" applyFont="1" applyBorder="1" applyAlignment="1">
      <alignment horizontal="left"/>
    </xf>
    <xf numFmtId="0" fontId="46" fillId="0" borderId="123" xfId="5" applyFont="1" applyBorder="1" applyAlignment="1">
      <alignment horizontal="center"/>
    </xf>
    <xf numFmtId="0" fontId="46" fillId="0" borderId="89" xfId="5" applyFont="1" applyBorder="1" applyAlignment="1">
      <alignment horizontal="left"/>
    </xf>
    <xf numFmtId="0" fontId="27" fillId="0" borderId="89" xfId="5" applyFont="1" applyBorder="1" applyAlignment="1">
      <alignment horizontal="left"/>
    </xf>
    <xf numFmtId="49" fontId="21" fillId="0" borderId="0" xfId="5" applyNumberFormat="1" applyFont="1"/>
    <xf numFmtId="0" fontId="27" fillId="0" borderId="99" xfId="5" applyFont="1" applyBorder="1" applyAlignment="1">
      <alignment horizontal="center"/>
    </xf>
    <xf numFmtId="0" fontId="46" fillId="0" borderId="99" xfId="5" applyFont="1" applyBorder="1" applyAlignment="1">
      <alignment horizontal="center"/>
    </xf>
    <xf numFmtId="0" fontId="27" fillId="0" borderId="88" xfId="5" applyFont="1" applyBorder="1" applyAlignment="1">
      <alignment horizontal="center"/>
    </xf>
    <xf numFmtId="0" fontId="27" fillId="0" borderId="93" xfId="5" applyFont="1" applyBorder="1" applyAlignment="1">
      <alignment horizontal="center"/>
    </xf>
    <xf numFmtId="0" fontId="46" fillId="0" borderId="90" xfId="5" applyFont="1" applyBorder="1" applyAlignment="1">
      <alignment horizontal="left"/>
    </xf>
    <xf numFmtId="0" fontId="46" fillId="0" borderId="91" xfId="5" applyFont="1" applyBorder="1" applyAlignment="1">
      <alignment horizontal="center"/>
    </xf>
    <xf numFmtId="0" fontId="46" fillId="0" borderId="97" xfId="5" applyFont="1" applyBorder="1"/>
    <xf numFmtId="0" fontId="46" fillId="0" borderId="90" xfId="5" applyFont="1" applyBorder="1"/>
    <xf numFmtId="0" fontId="46" fillId="0" borderId="91" xfId="5" applyFont="1" applyBorder="1"/>
    <xf numFmtId="0" fontId="50" fillId="0" borderId="2" xfId="5" applyFont="1" applyBorder="1" applyAlignment="1">
      <alignment horizontal="left" vertical="top"/>
    </xf>
    <xf numFmtId="0" fontId="50" fillId="0" borderId="3" xfId="5" applyFont="1" applyBorder="1" applyAlignment="1">
      <alignment vertical="top"/>
    </xf>
    <xf numFmtId="0" fontId="70" fillId="0" borderId="0" xfId="5" applyFont="1" applyAlignment="1">
      <alignment horizontal="center" vertical="center"/>
    </xf>
    <xf numFmtId="0" fontId="51" fillId="0" borderId="0" xfId="5" applyFont="1" applyAlignment="1">
      <alignment horizontal="center" vertical="center"/>
    </xf>
    <xf numFmtId="0" fontId="70" fillId="0" borderId="5" xfId="5" applyFont="1" applyBorder="1" applyAlignment="1">
      <alignment horizontal="center" vertical="center"/>
    </xf>
    <xf numFmtId="0" fontId="51" fillId="0" borderId="5" xfId="5" applyFont="1" applyBorder="1" applyAlignment="1">
      <alignment horizontal="center" vertical="center"/>
    </xf>
    <xf numFmtId="14" fontId="51" fillId="0" borderId="83" xfId="5" applyNumberFormat="1" applyFont="1" applyBorder="1" applyAlignment="1">
      <alignment horizontal="center" vertical="center"/>
    </xf>
    <xf numFmtId="14" fontId="51" fillId="0" borderId="78" xfId="5" applyNumberFormat="1" applyFont="1" applyBorder="1" applyAlignment="1">
      <alignment horizontal="center" vertical="center"/>
    </xf>
    <xf numFmtId="0" fontId="41" fillId="0" borderId="0" xfId="5" applyAlignment="1">
      <alignment vertical="center"/>
    </xf>
    <xf numFmtId="49" fontId="41" fillId="0" borderId="0" xfId="5" applyNumberFormat="1" applyAlignment="1">
      <alignment vertical="center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14" fontId="6" fillId="0" borderId="0" xfId="2" applyNumberFormat="1" applyFont="1" applyAlignment="1">
      <alignment horizontal="left"/>
    </xf>
    <xf numFmtId="0" fontId="6" fillId="0" borderId="0" xfId="2" applyFont="1" applyAlignment="1">
      <alignment horizontal="center" vertical="center"/>
    </xf>
    <xf numFmtId="0" fontId="22" fillId="0" borderId="0" xfId="2" applyFont="1" applyAlignment="1">
      <alignment horizontal="left"/>
    </xf>
    <xf numFmtId="0" fontId="36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43" fontId="9" fillId="0" borderId="0" xfId="3" applyFont="1" applyBorder="1" applyAlignment="1">
      <alignment horizontal="center" vertical="center"/>
    </xf>
    <xf numFmtId="4" fontId="9" fillId="0" borderId="0" xfId="3" applyNumberFormat="1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37" fillId="0" borderId="0" xfId="2" applyFont="1" applyAlignment="1">
      <alignment horizontal="center"/>
    </xf>
    <xf numFmtId="0" fontId="21" fillId="0" borderId="47" xfId="2" applyFont="1" applyBorder="1" applyAlignment="1">
      <alignment horizontal="center"/>
    </xf>
    <xf numFmtId="0" fontId="21" fillId="0" borderId="48" xfId="2" applyFont="1" applyBorder="1" applyAlignment="1">
      <alignment horizontal="center"/>
    </xf>
    <xf numFmtId="0" fontId="21" fillId="0" borderId="49" xfId="2" applyFont="1" applyBorder="1" applyAlignment="1">
      <alignment horizontal="center"/>
    </xf>
    <xf numFmtId="0" fontId="28" fillId="0" borderId="47" xfId="2" applyFont="1" applyBorder="1" applyAlignment="1">
      <alignment horizontal="center"/>
    </xf>
    <xf numFmtId="0" fontId="28" fillId="0" borderId="48" xfId="2" applyFont="1" applyBorder="1" applyAlignment="1">
      <alignment horizontal="center"/>
    </xf>
    <xf numFmtId="0" fontId="28" fillId="0" borderId="21" xfId="2" applyFont="1" applyBorder="1" applyAlignment="1">
      <alignment horizontal="center"/>
    </xf>
    <xf numFmtId="14" fontId="30" fillId="0" borderId="66" xfId="2" applyNumberFormat="1" applyFont="1" applyBorder="1" applyAlignment="1">
      <alignment horizontal="center"/>
    </xf>
    <xf numFmtId="0" fontId="30" fillId="0" borderId="67" xfId="2" applyFont="1" applyBorder="1" applyAlignment="1">
      <alignment horizontal="center"/>
    </xf>
    <xf numFmtId="0" fontId="30" fillId="0" borderId="68" xfId="2" applyFont="1" applyBorder="1" applyAlignment="1">
      <alignment horizontal="center"/>
    </xf>
    <xf numFmtId="14" fontId="30" fillId="0" borderId="47" xfId="2" applyNumberFormat="1" applyFont="1" applyBorder="1" applyAlignment="1">
      <alignment horizontal="center"/>
    </xf>
    <xf numFmtId="14" fontId="30" fillId="0" borderId="48" xfId="2" applyNumberFormat="1" applyFont="1" applyBorder="1" applyAlignment="1">
      <alignment horizontal="center"/>
    </xf>
    <xf numFmtId="14" fontId="30" fillId="0" borderId="21" xfId="2" applyNumberFormat="1" applyFont="1" applyBorder="1" applyAlignment="1">
      <alignment horizontal="center"/>
    </xf>
    <xf numFmtId="0" fontId="32" fillId="0" borderId="48" xfId="2" applyFont="1" applyBorder="1" applyAlignment="1">
      <alignment horizontal="left"/>
    </xf>
    <xf numFmtId="0" fontId="32" fillId="0" borderId="49" xfId="2" applyFont="1" applyBorder="1" applyAlignment="1">
      <alignment horizontal="left"/>
    </xf>
    <xf numFmtId="0" fontId="9" fillId="0" borderId="75" xfId="2" applyFont="1" applyBorder="1" applyAlignment="1">
      <alignment horizontal="left"/>
    </xf>
    <xf numFmtId="0" fontId="9" fillId="0" borderId="76" xfId="2" applyFont="1" applyBorder="1" applyAlignment="1">
      <alignment horizontal="left"/>
    </xf>
    <xf numFmtId="0" fontId="21" fillId="0" borderId="50" xfId="2" applyFont="1" applyBorder="1" applyAlignment="1">
      <alignment horizontal="center"/>
    </xf>
    <xf numFmtId="0" fontId="21" fillId="0" borderId="51" xfId="2" applyFont="1" applyBorder="1" applyAlignment="1">
      <alignment horizontal="center"/>
    </xf>
    <xf numFmtId="0" fontId="21" fillId="0" borderId="52" xfId="2" applyFont="1" applyBorder="1" applyAlignment="1">
      <alignment horizontal="center"/>
    </xf>
    <xf numFmtId="0" fontId="21" fillId="0" borderId="47" xfId="2" applyFont="1" applyBorder="1" applyAlignment="1">
      <alignment horizontal="left" vertical="center" wrapText="1" indent="2"/>
    </xf>
    <xf numFmtId="0" fontId="21" fillId="0" borderId="48" xfId="2" applyFont="1" applyBorder="1" applyAlignment="1">
      <alignment horizontal="left" vertical="center" wrapText="1" indent="2"/>
    </xf>
    <xf numFmtId="0" fontId="21" fillId="0" borderId="49" xfId="2" applyFont="1" applyBorder="1" applyAlignment="1">
      <alignment horizontal="left" vertical="center" wrapText="1" indent="2"/>
    </xf>
    <xf numFmtId="0" fontId="26" fillId="0" borderId="47" xfId="2" applyFont="1" applyBorder="1" applyAlignment="1">
      <alignment horizontal="center"/>
    </xf>
    <xf numFmtId="0" fontId="27" fillId="0" borderId="48" xfId="2" applyFont="1" applyBorder="1" applyAlignment="1">
      <alignment horizontal="center"/>
    </xf>
    <xf numFmtId="0" fontId="27" fillId="0" borderId="49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26" fillId="0" borderId="21" xfId="2" applyFont="1" applyBorder="1" applyAlignment="1">
      <alignment horizontal="center"/>
    </xf>
    <xf numFmtId="0" fontId="21" fillId="0" borderId="47" xfId="2" applyFont="1" applyBorder="1" applyAlignment="1">
      <alignment horizontal="left" vertical="center" wrapText="1"/>
    </xf>
    <xf numFmtId="0" fontId="21" fillId="0" borderId="48" xfId="2" applyFont="1" applyBorder="1" applyAlignment="1">
      <alignment horizontal="left" vertical="center" wrapText="1"/>
    </xf>
    <xf numFmtId="0" fontId="21" fillId="0" borderId="49" xfId="2" applyFont="1" applyBorder="1" applyAlignment="1">
      <alignment horizontal="left" vertical="center" wrapText="1"/>
    </xf>
    <xf numFmtId="0" fontId="9" fillId="0" borderId="32" xfId="2" applyFont="1" applyBorder="1" applyAlignment="1">
      <alignment horizontal="left"/>
    </xf>
    <xf numFmtId="0" fontId="9" fillId="0" borderId="33" xfId="2" applyFont="1" applyBorder="1" applyAlignment="1">
      <alignment horizontal="left"/>
    </xf>
    <xf numFmtId="0" fontId="9" fillId="0" borderId="34" xfId="2" applyFont="1" applyBorder="1" applyAlignment="1">
      <alignment horizontal="left"/>
    </xf>
    <xf numFmtId="0" fontId="6" fillId="0" borderId="36" xfId="2" applyFont="1" applyBorder="1" applyAlignment="1">
      <alignment horizontal="center" vertical="center"/>
    </xf>
    <xf numFmtId="0" fontId="6" fillId="0" borderId="41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/>
    </xf>
    <xf numFmtId="0" fontId="6" fillId="0" borderId="37" xfId="2" applyFont="1" applyBorder="1" applyAlignment="1">
      <alignment horizontal="center"/>
    </xf>
    <xf numFmtId="0" fontId="6" fillId="0" borderId="38" xfId="2" applyFont="1" applyBorder="1" applyAlignment="1">
      <alignment horizontal="center"/>
    </xf>
    <xf numFmtId="0" fontId="6" fillId="0" borderId="42" xfId="2" applyFont="1" applyBorder="1" applyAlignment="1">
      <alignment horizontal="center"/>
    </xf>
    <xf numFmtId="0" fontId="6" fillId="0" borderId="43" xfId="2" applyFont="1" applyBorder="1" applyAlignment="1">
      <alignment horizontal="center"/>
    </xf>
    <xf numFmtId="0" fontId="6" fillId="0" borderId="44" xfId="2" applyFont="1" applyBorder="1" applyAlignment="1">
      <alignment horizontal="center"/>
    </xf>
    <xf numFmtId="0" fontId="6" fillId="0" borderId="39" xfId="2" applyFont="1" applyBorder="1" applyAlignment="1">
      <alignment horizontal="center" vertical="center"/>
    </xf>
    <xf numFmtId="0" fontId="6" fillId="0" borderId="45" xfId="2" applyFont="1" applyBorder="1" applyAlignment="1">
      <alignment horizontal="center" vertical="center"/>
    </xf>
    <xf numFmtId="0" fontId="15" fillId="0" borderId="29" xfId="3" applyNumberFormat="1" applyFont="1" applyBorder="1" applyAlignment="1">
      <alignment horizontal="center"/>
    </xf>
    <xf numFmtId="0" fontId="15" fillId="0" borderId="27" xfId="3" applyNumberFormat="1" applyFont="1" applyBorder="1" applyAlignment="1">
      <alignment horizontal="center"/>
    </xf>
    <xf numFmtId="43" fontId="16" fillId="0" borderId="28" xfId="3" applyFont="1" applyBorder="1" applyAlignment="1">
      <alignment horizontal="center" vertical="center"/>
    </xf>
    <xf numFmtId="43" fontId="16" fillId="0" borderId="5" xfId="3" applyFont="1" applyBorder="1" applyAlignment="1">
      <alignment horizontal="center" vertical="center"/>
    </xf>
    <xf numFmtId="0" fontId="2" fillId="0" borderId="4" xfId="3" applyNumberFormat="1" applyFont="1" applyBorder="1" applyAlignment="1">
      <alignment horizontal="left"/>
    </xf>
    <xf numFmtId="0" fontId="2" fillId="0" borderId="0" xfId="3" applyNumberFormat="1" applyFont="1" applyBorder="1" applyAlignment="1">
      <alignment horizontal="left"/>
    </xf>
    <xf numFmtId="0" fontId="7" fillId="0" borderId="7" xfId="2" applyFont="1" applyBorder="1" applyAlignment="1">
      <alignment horizontal="center"/>
    </xf>
    <xf numFmtId="43" fontId="9" fillId="0" borderId="26" xfId="3" applyFont="1" applyBorder="1" applyAlignment="1">
      <alignment horizontal="center" vertical="center"/>
    </xf>
    <xf numFmtId="43" fontId="9" fillId="0" borderId="13" xfId="3" applyFont="1" applyBorder="1" applyAlignment="1">
      <alignment horizontal="center" vertical="center"/>
    </xf>
    <xf numFmtId="1" fontId="6" fillId="0" borderId="4" xfId="3" applyNumberFormat="1" applyFont="1" applyBorder="1" applyAlignment="1">
      <alignment horizontal="left" wrapText="1"/>
    </xf>
    <xf numFmtId="1" fontId="6" fillId="0" borderId="0" xfId="3" applyNumberFormat="1" applyFont="1" applyBorder="1" applyAlignment="1">
      <alignment horizontal="left" wrapText="1"/>
    </xf>
    <xf numFmtId="1" fontId="6" fillId="0" borderId="14" xfId="3" applyNumberFormat="1" applyFont="1" applyBorder="1" applyAlignment="1">
      <alignment horizontal="left" wrapText="1"/>
    </xf>
    <xf numFmtId="1" fontId="6" fillId="0" borderId="15" xfId="3" applyNumberFormat="1" applyFont="1" applyBorder="1" applyAlignment="1">
      <alignment horizontal="center"/>
    </xf>
    <xf numFmtId="1" fontId="6" fillId="0" borderId="27" xfId="3" applyNumberFormat="1" applyFont="1" applyBorder="1" applyAlignment="1">
      <alignment horizontal="center"/>
    </xf>
    <xf numFmtId="4" fontId="9" fillId="0" borderId="28" xfId="3" applyNumberFormat="1" applyFont="1" applyBorder="1" applyAlignment="1">
      <alignment horizontal="center" vertical="center"/>
    </xf>
    <xf numFmtId="4" fontId="9" fillId="0" borderId="5" xfId="3" applyNumberFormat="1" applyFont="1" applyBorder="1" applyAlignment="1">
      <alignment horizontal="center" vertical="center"/>
    </xf>
    <xf numFmtId="17" fontId="1" fillId="0" borderId="4" xfId="2" applyNumberFormat="1" applyBorder="1" applyAlignment="1">
      <alignment horizontal="center"/>
    </xf>
    <xf numFmtId="17" fontId="1" fillId="0" borderId="0" xfId="2" applyNumberFormat="1" applyAlignment="1">
      <alignment horizontal="center"/>
    </xf>
    <xf numFmtId="0" fontId="13" fillId="0" borderId="29" xfId="3" applyNumberFormat="1" applyFont="1" applyBorder="1" applyAlignment="1">
      <alignment horizontal="center"/>
    </xf>
    <xf numFmtId="0" fontId="13" fillId="0" borderId="0" xfId="3" applyNumberFormat="1" applyFont="1" applyBorder="1" applyAlignment="1">
      <alignment horizontal="center"/>
    </xf>
    <xf numFmtId="0" fontId="13" fillId="0" borderId="14" xfId="3" applyNumberFormat="1" applyFont="1" applyBorder="1" applyAlignment="1">
      <alignment horizontal="center"/>
    </xf>
    <xf numFmtId="0" fontId="13" fillId="0" borderId="27" xfId="3" applyNumberFormat="1" applyFont="1" applyBorder="1" applyAlignment="1">
      <alignment horizontal="center"/>
    </xf>
    <xf numFmtId="43" fontId="3" fillId="0" borderId="28" xfId="3" applyFont="1" applyBorder="1" applyAlignment="1">
      <alignment horizontal="center" vertical="center"/>
    </xf>
    <xf numFmtId="43" fontId="3" fillId="0" borderId="5" xfId="3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/>
    </xf>
    <xf numFmtId="0" fontId="11" fillId="0" borderId="16" xfId="2" applyFont="1" applyBorder="1" applyAlignment="1">
      <alignment horizontal="center"/>
    </xf>
    <xf numFmtId="0" fontId="11" fillId="0" borderId="12" xfId="2" applyFont="1" applyBorder="1" applyAlignment="1">
      <alignment horizontal="left" vertical="center"/>
    </xf>
    <xf numFmtId="0" fontId="11" fillId="0" borderId="10" xfId="2" applyFont="1" applyBorder="1" applyAlignment="1">
      <alignment horizontal="left" vertical="center"/>
    </xf>
    <xf numFmtId="0" fontId="11" fillId="0" borderId="13" xfId="2" applyFont="1" applyBorder="1" applyAlignment="1">
      <alignment horizontal="left" vertical="center"/>
    </xf>
    <xf numFmtId="0" fontId="11" fillId="0" borderId="15" xfId="2" applyFont="1" applyBorder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1" fillId="0" borderId="5" xfId="2" applyFont="1" applyBorder="1" applyAlignment="1">
      <alignment horizontal="left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5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0" borderId="6" xfId="2" quotePrefix="1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7" fillId="0" borderId="12" xfId="2" applyFont="1" applyBorder="1" applyAlignment="1">
      <alignment wrapText="1"/>
    </xf>
    <xf numFmtId="0" fontId="7" fillId="0" borderId="13" xfId="2" applyFont="1" applyBorder="1" applyAlignment="1">
      <alignment wrapText="1"/>
    </xf>
    <xf numFmtId="0" fontId="53" fillId="0" borderId="0" xfId="5" applyFont="1" applyAlignment="1">
      <alignment horizontal="center"/>
    </xf>
    <xf numFmtId="0" fontId="53" fillId="0" borderId="5" xfId="5" applyFont="1" applyBorder="1" applyAlignment="1">
      <alignment horizontal="center"/>
    </xf>
    <xf numFmtId="0" fontId="50" fillId="0" borderId="0" xfId="5" applyFont="1" applyAlignment="1">
      <alignment horizontal="center"/>
    </xf>
    <xf numFmtId="0" fontId="50" fillId="0" borderId="5" xfId="5" applyFont="1" applyBorder="1" applyAlignment="1">
      <alignment horizontal="center"/>
    </xf>
    <xf numFmtId="0" fontId="46" fillId="0" borderId="0" xfId="5" applyFont="1" applyAlignment="1">
      <alignment horizontal="center" wrapText="1"/>
    </xf>
    <xf numFmtId="0" fontId="46" fillId="0" borderId="5" xfId="5" applyFont="1" applyBorder="1" applyAlignment="1">
      <alignment horizontal="center" wrapText="1"/>
    </xf>
    <xf numFmtId="0" fontId="52" fillId="0" borderId="4" xfId="5" applyFont="1" applyBorder="1" applyAlignment="1">
      <alignment horizontal="center"/>
    </xf>
    <xf numFmtId="0" fontId="52" fillId="0" borderId="0" xfId="5" applyFont="1" applyAlignment="1">
      <alignment horizontal="center"/>
    </xf>
    <xf numFmtId="0" fontId="50" fillId="0" borderId="90" xfId="5" applyFont="1" applyBorder="1" applyAlignment="1">
      <alignment horizontal="center"/>
    </xf>
    <xf numFmtId="0" fontId="50" fillId="0" borderId="91" xfId="5" applyFont="1" applyBorder="1" applyAlignment="1">
      <alignment horizontal="center"/>
    </xf>
    <xf numFmtId="0" fontId="51" fillId="0" borderId="4" xfId="5" applyFont="1" applyBorder="1" applyAlignment="1">
      <alignment horizontal="center"/>
    </xf>
    <xf numFmtId="0" fontId="51" fillId="0" borderId="0" xfId="5" applyFont="1" applyAlignment="1">
      <alignment horizontal="center"/>
    </xf>
    <xf numFmtId="0" fontId="46" fillId="0" borderId="0" xfId="5" applyFont="1" applyAlignment="1">
      <alignment horizontal="center"/>
    </xf>
    <xf numFmtId="0" fontId="46" fillId="0" borderId="5" xfId="5" applyFont="1" applyBorder="1" applyAlignment="1">
      <alignment horizontal="center"/>
    </xf>
    <xf numFmtId="0" fontId="27" fillId="0" borderId="48" xfId="5" applyFont="1" applyBorder="1" applyAlignment="1">
      <alignment horizontal="center"/>
    </xf>
    <xf numFmtId="0" fontId="27" fillId="0" borderId="0" xfId="5" applyFont="1" applyAlignment="1">
      <alignment horizontal="left"/>
    </xf>
    <xf numFmtId="0" fontId="27" fillId="0" borderId="5" xfId="5" applyFont="1" applyBorder="1" applyAlignment="1">
      <alignment horizontal="left"/>
    </xf>
    <xf numFmtId="0" fontId="48" fillId="0" borderId="82" xfId="5" applyFont="1" applyBorder="1" applyAlignment="1">
      <alignment horizontal="left"/>
    </xf>
    <xf numFmtId="0" fontId="49" fillId="0" borderId="83" xfId="5" applyFont="1" applyBorder="1" applyAlignment="1">
      <alignment horizontal="left"/>
    </xf>
    <xf numFmtId="0" fontId="49" fillId="0" borderId="78" xfId="5" applyFont="1" applyBorder="1" applyAlignment="1">
      <alignment horizontal="left"/>
    </xf>
    <xf numFmtId="0" fontId="46" fillId="0" borderId="0" xfId="5" applyFont="1" applyAlignment="1">
      <alignment horizontal="left" wrapText="1"/>
    </xf>
    <xf numFmtId="0" fontId="46" fillId="0" borderId="5" xfId="5" applyFont="1" applyBorder="1" applyAlignment="1">
      <alignment horizontal="left" wrapText="1"/>
    </xf>
    <xf numFmtId="0" fontId="27" fillId="0" borderId="0" xfId="5" applyFont="1" applyAlignment="1">
      <alignment horizontal="center"/>
    </xf>
    <xf numFmtId="0" fontId="42" fillId="0" borderId="0" xfId="5" applyFont="1" applyAlignment="1">
      <alignment horizontal="right"/>
    </xf>
    <xf numFmtId="0" fontId="43" fillId="0" borderId="0" xfId="5" applyFont="1" applyAlignment="1">
      <alignment horizontal="center"/>
    </xf>
    <xf numFmtId="0" fontId="26" fillId="0" borderId="0" xfId="5" applyFont="1" applyAlignment="1">
      <alignment horizontal="center"/>
    </xf>
    <xf numFmtId="0" fontId="26" fillId="0" borderId="79" xfId="5" applyFont="1" applyBorder="1" applyAlignment="1">
      <alignment horizontal="center" wrapText="1"/>
    </xf>
    <xf numFmtId="0" fontId="9" fillId="0" borderId="0" xfId="5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5" xfId="5" applyFont="1" applyBorder="1" applyAlignment="1">
      <alignment horizontal="center"/>
    </xf>
    <xf numFmtId="0" fontId="6" fillId="0" borderId="89" xfId="5" applyFont="1" applyBorder="1" applyAlignment="1">
      <alignment horizontal="center"/>
    </xf>
    <xf numFmtId="0" fontId="6" fillId="0" borderId="101" xfId="5" applyFont="1" applyBorder="1" applyAlignment="1">
      <alignment horizontal="center"/>
    </xf>
    <xf numFmtId="0" fontId="6" fillId="0" borderId="102" xfId="5" applyFont="1" applyBorder="1" applyAlignment="1">
      <alignment horizontal="center"/>
    </xf>
    <xf numFmtId="43" fontId="57" fillId="0" borderId="97" xfId="5" applyNumberFormat="1" applyFont="1" applyBorder="1" applyAlignment="1">
      <alignment horizontal="center"/>
    </xf>
    <xf numFmtId="0" fontId="57" fillId="0" borderId="90" xfId="5" applyFont="1" applyBorder="1" applyAlignment="1">
      <alignment horizontal="center"/>
    </xf>
    <xf numFmtId="0" fontId="6" fillId="0" borderId="94" xfId="5" applyFont="1" applyBorder="1" applyAlignment="1">
      <alignment horizontal="center"/>
    </xf>
    <xf numFmtId="0" fontId="6" fillId="0" borderId="95" xfId="5" applyFont="1" applyBorder="1" applyAlignment="1">
      <alignment horizontal="center"/>
    </xf>
    <xf numFmtId="0" fontId="6" fillId="0" borderId="4" xfId="5" applyFont="1" applyBorder="1" applyAlignment="1">
      <alignment horizontal="left"/>
    </xf>
    <xf numFmtId="0" fontId="6" fillId="0" borderId="0" xfId="5" applyFont="1" applyAlignment="1">
      <alignment horizontal="left"/>
    </xf>
    <xf numFmtId="0" fontId="7" fillId="0" borderId="0" xfId="5" applyFont="1" applyAlignment="1">
      <alignment horizontal="center"/>
    </xf>
    <xf numFmtId="0" fontId="7" fillId="0" borderId="5" xfId="5" applyFont="1" applyBorder="1" applyAlignment="1">
      <alignment horizontal="center"/>
    </xf>
    <xf numFmtId="0" fontId="6" fillId="2" borderId="89" xfId="5" applyFont="1" applyFill="1" applyBorder="1" applyAlignment="1">
      <alignment horizontal="center"/>
    </xf>
    <xf numFmtId="43" fontId="6" fillId="2" borderId="89" xfId="3" applyFont="1" applyFill="1" applyBorder="1" applyAlignment="1">
      <alignment horizontal="center"/>
    </xf>
    <xf numFmtId="0" fontId="44" fillId="0" borderId="79" xfId="5" applyFont="1" applyBorder="1" applyAlignment="1">
      <alignment horizontal="center" wrapText="1"/>
    </xf>
    <xf numFmtId="0" fontId="58" fillId="0" borderId="98" xfId="5" applyFont="1" applyBorder="1" applyAlignment="1">
      <alignment horizontal="center"/>
    </xf>
    <xf numFmtId="0" fontId="6" fillId="0" borderId="90" xfId="5" applyFont="1" applyBorder="1" applyAlignment="1">
      <alignment horizontal="center"/>
    </xf>
    <xf numFmtId="0" fontId="9" fillId="0" borderId="89" xfId="5" applyFont="1" applyBorder="1" applyAlignment="1">
      <alignment horizontal="center" vertical="center"/>
    </xf>
    <xf numFmtId="0" fontId="6" fillId="0" borderId="1" xfId="5" applyFont="1" applyBorder="1" applyAlignment="1">
      <alignment horizontal="center"/>
    </xf>
    <xf numFmtId="0" fontId="6" fillId="0" borderId="2" xfId="5" applyFont="1" applyBorder="1" applyAlignment="1">
      <alignment horizontal="center"/>
    </xf>
    <xf numFmtId="0" fontId="6" fillId="0" borderId="3" xfId="5" applyFont="1" applyBorder="1" applyAlignment="1">
      <alignment horizontal="center"/>
    </xf>
    <xf numFmtId="0" fontId="6" fillId="0" borderId="4" xfId="5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0" fontId="11" fillId="0" borderId="0" xfId="5" applyFont="1" applyAlignment="1">
      <alignment horizontal="center"/>
    </xf>
    <xf numFmtId="0" fontId="11" fillId="0" borderId="5" xfId="5" applyFont="1" applyBorder="1" applyAlignment="1">
      <alignment horizontal="center"/>
    </xf>
    <xf numFmtId="0" fontId="11" fillId="0" borderId="92" xfId="5" applyFont="1" applyBorder="1" applyAlignment="1">
      <alignment horizontal="center"/>
    </xf>
    <xf numFmtId="0" fontId="11" fillId="0" borderId="89" xfId="5" applyFont="1" applyBorder="1" applyAlignment="1">
      <alignment horizontal="center"/>
    </xf>
    <xf numFmtId="0" fontId="11" fillId="0" borderId="93" xfId="5" applyFont="1" applyBorder="1" applyAlignment="1">
      <alignment horizontal="center"/>
    </xf>
    <xf numFmtId="0" fontId="46" fillId="0" borderId="90" xfId="5" applyFont="1" applyBorder="1" applyAlignment="1">
      <alignment horizontal="center"/>
    </xf>
    <xf numFmtId="0" fontId="27" fillId="0" borderId="90" xfId="5" applyFont="1" applyBorder="1" applyAlignment="1">
      <alignment horizontal="center"/>
    </xf>
    <xf numFmtId="0" fontId="27" fillId="0" borderId="91" xfId="5" applyFont="1" applyBorder="1" applyAlignment="1">
      <alignment horizontal="center"/>
    </xf>
    <xf numFmtId="0" fontId="46" fillId="0" borderId="2" xfId="5" applyFont="1" applyBorder="1" applyAlignment="1">
      <alignment horizontal="left"/>
    </xf>
    <xf numFmtId="0" fontId="46" fillId="0" borderId="3" xfId="5" applyFont="1" applyBorder="1" applyAlignment="1">
      <alignment horizontal="left"/>
    </xf>
    <xf numFmtId="0" fontId="50" fillId="0" borderId="0" xfId="5" applyFont="1" applyAlignment="1">
      <alignment horizontal="left"/>
    </xf>
    <xf numFmtId="0" fontId="50" fillId="0" borderId="5" xfId="5" applyFont="1" applyBorder="1" applyAlignment="1">
      <alignment horizontal="left"/>
    </xf>
    <xf numFmtId="0" fontId="26" fillId="0" borderId="5" xfId="5" applyFont="1" applyBorder="1" applyAlignment="1">
      <alignment horizontal="center"/>
    </xf>
    <xf numFmtId="0" fontId="46" fillId="0" borderId="0" xfId="5" applyFont="1" applyAlignment="1">
      <alignment horizontal="left"/>
    </xf>
    <xf numFmtId="0" fontId="46" fillId="0" borderId="5" xfId="5" applyFont="1" applyBorder="1" applyAlignment="1">
      <alignment horizontal="left"/>
    </xf>
    <xf numFmtId="0" fontId="27" fillId="0" borderId="5" xfId="5" applyFont="1" applyBorder="1" applyAlignment="1">
      <alignment horizontal="center"/>
    </xf>
    <xf numFmtId="0" fontId="59" fillId="0" borderId="0" xfId="5" applyFont="1" applyAlignment="1">
      <alignment horizontal="center"/>
    </xf>
    <xf numFmtId="0" fontId="62" fillId="0" borderId="0" xfId="5" quotePrefix="1" applyFont="1" applyAlignment="1">
      <alignment horizontal="left"/>
    </xf>
    <xf numFmtId="0" fontId="62" fillId="0" borderId="5" xfId="5" applyFont="1" applyBorder="1" applyAlignment="1">
      <alignment horizontal="left"/>
    </xf>
    <xf numFmtId="0" fontId="63" fillId="0" borderId="4" xfId="5" applyFont="1" applyBorder="1" applyAlignment="1">
      <alignment horizontal="center"/>
    </xf>
    <xf numFmtId="0" fontId="51" fillId="0" borderId="5" xfId="5" applyFont="1" applyBorder="1" applyAlignment="1">
      <alignment horizontal="center"/>
    </xf>
    <xf numFmtId="0" fontId="46" fillId="0" borderId="107" xfId="5" applyFont="1" applyBorder="1" applyAlignment="1">
      <alignment horizontal="center"/>
    </xf>
    <xf numFmtId="0" fontId="46" fillId="0" borderId="108" xfId="5" applyFont="1" applyBorder="1" applyAlignment="1">
      <alignment horizontal="center"/>
    </xf>
    <xf numFmtId="0" fontId="30" fillId="0" borderId="90" xfId="5" applyFont="1" applyBorder="1" applyAlignment="1">
      <alignment horizontal="center"/>
    </xf>
    <xf numFmtId="0" fontId="30" fillId="0" borderId="91" xfId="5" applyFont="1" applyBorder="1" applyAlignment="1">
      <alignment horizontal="center"/>
    </xf>
    <xf numFmtId="0" fontId="41" fillId="0" borderId="4" xfId="5" applyBorder="1" applyAlignment="1">
      <alignment horizontal="center"/>
    </xf>
    <xf numFmtId="0" fontId="41" fillId="0" borderId="0" xfId="5" applyAlignment="1">
      <alignment horizontal="center"/>
    </xf>
    <xf numFmtId="0" fontId="41" fillId="0" borderId="95" xfId="5" applyBorder="1" applyAlignment="1">
      <alignment horizontal="center"/>
    </xf>
    <xf numFmtId="0" fontId="41" fillId="0" borderId="121" xfId="5" applyBorder="1" applyAlignment="1">
      <alignment horizontal="center"/>
    </xf>
    <xf numFmtId="0" fontId="3" fillId="0" borderId="97" xfId="5" applyFont="1" applyBorder="1" applyAlignment="1">
      <alignment horizontal="center"/>
    </xf>
    <xf numFmtId="0" fontId="3" fillId="0" borderId="90" xfId="5" applyFont="1" applyBorder="1" applyAlignment="1">
      <alignment horizontal="center"/>
    </xf>
    <xf numFmtId="0" fontId="3" fillId="0" borderId="91" xfId="5" applyFont="1" applyBorder="1" applyAlignment="1">
      <alignment horizontal="center"/>
    </xf>
    <xf numFmtId="0" fontId="16" fillId="0" borderId="104" xfId="5" applyFont="1" applyBorder="1" applyAlignment="1">
      <alignment horizontal="center"/>
    </xf>
    <xf numFmtId="0" fontId="16" fillId="0" borderId="103" xfId="5" applyFont="1" applyBorder="1" applyAlignment="1">
      <alignment horizontal="center"/>
    </xf>
    <xf numFmtId="0" fontId="16" fillId="0" borderId="110" xfId="5" applyFont="1" applyBorder="1" applyAlignment="1">
      <alignment horizontal="center"/>
    </xf>
    <xf numFmtId="0" fontId="65" fillId="0" borderId="0" xfId="5" applyFont="1" applyAlignment="1">
      <alignment horizontal="center"/>
    </xf>
    <xf numFmtId="0" fontId="65" fillId="0" borderId="5" xfId="5" applyFont="1" applyBorder="1" applyAlignment="1">
      <alignment horizontal="center"/>
    </xf>
    <xf numFmtId="0" fontId="3" fillId="0" borderId="4" xfId="5" applyFont="1" applyBorder="1" applyAlignment="1">
      <alignment horizontal="center"/>
    </xf>
    <xf numFmtId="0" fontId="3" fillId="0" borderId="0" xfId="5" applyFont="1" applyAlignment="1">
      <alignment horizontal="center"/>
    </xf>
    <xf numFmtId="0" fontId="3" fillId="0" borderId="5" xfId="5" applyFont="1" applyBorder="1" applyAlignment="1">
      <alignment horizontal="center"/>
    </xf>
    <xf numFmtId="0" fontId="13" fillId="0" borderId="0" xfId="5" applyFont="1" applyAlignment="1">
      <alignment horizontal="center"/>
    </xf>
    <xf numFmtId="0" fontId="13" fillId="0" borderId="5" xfId="5" applyFont="1" applyBorder="1" applyAlignment="1">
      <alignment horizontal="center"/>
    </xf>
    <xf numFmtId="0" fontId="64" fillId="0" borderId="0" xfId="5" applyFont="1" applyAlignment="1">
      <alignment horizontal="center"/>
    </xf>
    <xf numFmtId="0" fontId="3" fillId="0" borderId="111" xfId="5" applyFont="1" applyBorder="1" applyAlignment="1">
      <alignment horizontal="center" vertical="center" wrapText="1"/>
    </xf>
    <xf numFmtId="0" fontId="3" fillId="0" borderId="114" xfId="5" applyFont="1" applyBorder="1" applyAlignment="1">
      <alignment horizontal="center" vertical="center" wrapText="1"/>
    </xf>
    <xf numFmtId="0" fontId="3" fillId="0" borderId="112" xfId="5" applyFont="1" applyBorder="1" applyAlignment="1">
      <alignment horizontal="center" vertical="center"/>
    </xf>
    <xf numFmtId="0" fontId="3" fillId="0" borderId="92" xfId="5" applyFont="1" applyBorder="1" applyAlignment="1">
      <alignment horizontal="center" vertical="center"/>
    </xf>
    <xf numFmtId="0" fontId="3" fillId="0" borderId="113" xfId="5" applyFont="1" applyBorder="1" applyAlignment="1">
      <alignment horizontal="center" vertical="center"/>
    </xf>
    <xf numFmtId="0" fontId="3" fillId="0" borderId="99" xfId="5" applyFont="1" applyBorder="1" applyAlignment="1">
      <alignment horizontal="center" vertical="center"/>
    </xf>
    <xf numFmtId="0" fontId="3" fillId="0" borderId="115" xfId="5" applyFont="1" applyBorder="1" applyAlignment="1">
      <alignment horizontal="center" vertical="center"/>
    </xf>
    <xf numFmtId="0" fontId="3" fillId="0" borderId="84" xfId="5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3" xfId="5" applyFont="1" applyBorder="1" applyAlignment="1">
      <alignment horizontal="center"/>
    </xf>
    <xf numFmtId="0" fontId="46" fillId="0" borderId="4" xfId="5" applyFont="1" applyBorder="1" applyAlignment="1">
      <alignment horizontal="center"/>
    </xf>
    <xf numFmtId="0" fontId="46" fillId="0" borderId="95" xfId="5" applyFont="1" applyBorder="1" applyAlignment="1">
      <alignment horizontal="center"/>
    </xf>
    <xf numFmtId="0" fontId="46" fillId="0" borderId="121" xfId="5" applyFont="1" applyBorder="1" applyAlignment="1">
      <alignment horizontal="center"/>
    </xf>
    <xf numFmtId="0" fontId="59" fillId="0" borderId="4" xfId="5" applyFont="1" applyBorder="1" applyAlignment="1">
      <alignment horizontal="center"/>
    </xf>
    <xf numFmtId="0" fontId="59" fillId="0" borderId="5" xfId="5" applyFont="1" applyBorder="1" applyAlignment="1">
      <alignment horizontal="center"/>
    </xf>
    <xf numFmtId="0" fontId="46" fillId="0" borderId="82" xfId="5" applyFont="1" applyBorder="1" applyAlignment="1">
      <alignment horizontal="center"/>
    </xf>
    <xf numFmtId="0" fontId="46" fillId="0" borderId="78" xfId="5" applyFont="1" applyBorder="1" applyAlignment="1">
      <alignment horizontal="center"/>
    </xf>
    <xf numFmtId="0" fontId="50" fillId="0" borderId="82" xfId="5" applyFont="1" applyBorder="1" applyAlignment="1">
      <alignment horizontal="center"/>
    </xf>
    <xf numFmtId="168" fontId="46" fillId="0" borderId="0" xfId="5" applyNumberFormat="1" applyFont="1" applyAlignment="1">
      <alignment horizontal="center"/>
    </xf>
    <xf numFmtId="168" fontId="46" fillId="0" borderId="5" xfId="5" applyNumberFormat="1" applyFont="1" applyBorder="1" applyAlignment="1">
      <alignment horizontal="center"/>
    </xf>
    <xf numFmtId="0" fontId="53" fillId="0" borderId="4" xfId="5" applyFont="1" applyBorder="1" applyAlignment="1">
      <alignment horizontal="center"/>
    </xf>
    <xf numFmtId="0" fontId="46" fillId="0" borderId="82" xfId="5" applyFont="1" applyBorder="1" applyAlignment="1">
      <alignment horizontal="left" vertical="center"/>
    </xf>
    <xf numFmtId="0" fontId="46" fillId="0" borderId="83" xfId="5" applyFont="1" applyBorder="1" applyAlignment="1">
      <alignment horizontal="left" vertical="center"/>
    </xf>
    <xf numFmtId="14" fontId="51" fillId="0" borderId="83" xfId="5" applyNumberFormat="1" applyFont="1" applyBorder="1" applyAlignment="1">
      <alignment horizontal="center" vertical="center"/>
    </xf>
    <xf numFmtId="0" fontId="51" fillId="0" borderId="83" xfId="5" applyFont="1" applyBorder="1" applyAlignment="1">
      <alignment horizontal="center" vertical="center"/>
    </xf>
    <xf numFmtId="0" fontId="46" fillId="0" borderId="4" xfId="5" applyFont="1" applyBorder="1" applyAlignment="1">
      <alignment horizontal="left"/>
    </xf>
    <xf numFmtId="0" fontId="70" fillId="0" borderId="0" xfId="5" applyFont="1" applyAlignment="1">
      <alignment horizontal="center" vertical="center"/>
    </xf>
    <xf numFmtId="0" fontId="51" fillId="0" borderId="0" xfId="5" applyFont="1" applyAlignment="1">
      <alignment horizontal="center" vertical="center"/>
    </xf>
    <xf numFmtId="0" fontId="46" fillId="0" borderId="91" xfId="5" applyFont="1" applyBorder="1" applyAlignment="1">
      <alignment horizontal="center"/>
    </xf>
    <xf numFmtId="0" fontId="46" fillId="0" borderId="98" xfId="5" applyFont="1" applyBorder="1" applyAlignment="1">
      <alignment horizontal="center"/>
    </xf>
    <xf numFmtId="0" fontId="46" fillId="0" borderId="83" xfId="5" applyFont="1" applyBorder="1" applyAlignment="1">
      <alignment horizontal="center"/>
    </xf>
    <xf numFmtId="0" fontId="46" fillId="0" borderId="1" xfId="5" applyFont="1" applyBorder="1" applyAlignment="1">
      <alignment horizontal="left"/>
    </xf>
    <xf numFmtId="0" fontId="50" fillId="0" borderId="2" xfId="5" applyFont="1" applyBorder="1" applyAlignment="1">
      <alignment horizontal="center" vertical="top"/>
    </xf>
    <xf numFmtId="14" fontId="46" fillId="0" borderId="2" xfId="5" applyNumberFormat="1" applyFont="1" applyBorder="1" applyAlignment="1">
      <alignment horizontal="center"/>
    </xf>
    <xf numFmtId="14" fontId="46" fillId="0" borderId="3" xfId="5" applyNumberFormat="1" applyFont="1" applyBorder="1" applyAlignment="1">
      <alignment horizontal="center"/>
    </xf>
    <xf numFmtId="0" fontId="46" fillId="0" borderId="82" xfId="5" applyFont="1" applyBorder="1" applyAlignment="1">
      <alignment horizontal="left"/>
    </xf>
    <xf numFmtId="0" fontId="46" fillId="0" borderId="83" xfId="5" applyFont="1" applyBorder="1" applyAlignment="1">
      <alignment horizontal="left"/>
    </xf>
    <xf numFmtId="0" fontId="46" fillId="0" borderId="83" xfId="5" applyFont="1" applyBorder="1" applyAlignment="1">
      <alignment horizontal="center" wrapText="1"/>
    </xf>
    <xf numFmtId="0" fontId="46" fillId="0" borderId="78" xfId="5" applyFont="1" applyBorder="1" applyAlignment="1">
      <alignment horizontal="center" wrapText="1"/>
    </xf>
    <xf numFmtId="0" fontId="69" fillId="0" borderId="104" xfId="5" applyFont="1" applyBorder="1" applyAlignment="1">
      <alignment horizontal="center"/>
    </xf>
    <xf numFmtId="0" fontId="69" fillId="0" borderId="103" xfId="5" applyFont="1" applyBorder="1" applyAlignment="1">
      <alignment horizontal="center"/>
    </xf>
    <xf numFmtId="0" fontId="69" fillId="0" borderId="110" xfId="5" applyFont="1" applyBorder="1" applyAlignment="1">
      <alignment horizontal="center"/>
    </xf>
  </cellXfs>
  <cellStyles count="6">
    <cellStyle name="Comma 2" xfId="3" xr:uid="{CA8A45CF-63B0-430E-96D7-33A150AFE399}"/>
    <cellStyle name="Normal" xfId="0" builtinId="0"/>
    <cellStyle name="Normal 2" xfId="2" xr:uid="{F101A034-378D-49BB-B49C-92E5D4143BB9}"/>
    <cellStyle name="Normal 3" xfId="5" xr:uid="{F41EBB36-FAD7-465D-993D-E52A80195BC1}"/>
    <cellStyle name="Percent" xfId="1" builtinId="5"/>
    <cellStyle name="Percent 2" xfId="4" xr:uid="{B61E2CE2-0700-40C9-9996-73C860E62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535305</xdr:colOff>
      <xdr:row>8</xdr:row>
      <xdr:rowOff>31115</xdr:rowOff>
    </xdr:from>
    <xdr:to>
      <xdr:col>2</xdr:col>
      <xdr:colOff>271780</xdr:colOff>
      <xdr:row>9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69D47797-4DF0-43EC-8CFD-2C02CC1F05BE}"/>
            </a:ext>
          </a:extLst>
        </xdr:cNvPr>
        <xdr:cNvSpPr/>
      </xdr:nvSpPr>
      <xdr:spPr>
        <a:xfrm>
          <a:off x="1518285" y="1669415"/>
          <a:ext cx="353695" cy="1441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t"/>
        <a:lstStyle/>
        <a:p>
          <a:endParaRPr lang="en-PH"/>
        </a:p>
      </xdr:txBody>
    </xdr:sp>
    <xdr:clientData/>
  </xdr:twoCellAnchor>
  <xdr:twoCellAnchor>
    <xdr:from>
      <xdr:col>3</xdr:col>
      <xdr:colOff>518795</xdr:colOff>
      <xdr:row>8</xdr:row>
      <xdr:rowOff>29210</xdr:rowOff>
    </xdr:from>
    <xdr:to>
      <xdr:col>4</xdr:col>
      <xdr:colOff>141750</xdr:colOff>
      <xdr:row>9</xdr:row>
      <xdr:rowOff>97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DA1B639-6652-4869-A274-73269F682136}"/>
            </a:ext>
          </a:extLst>
        </xdr:cNvPr>
        <xdr:cNvSpPr/>
      </xdr:nvSpPr>
      <xdr:spPr>
        <a:xfrm>
          <a:off x="2873375" y="1667510"/>
          <a:ext cx="674515" cy="146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t"/>
        <a:lstStyle/>
        <a:p>
          <a:endParaRPr lang="en-PH"/>
        </a:p>
      </xdr:txBody>
    </xdr:sp>
    <xdr:clientData/>
  </xdr:twoCellAnchor>
  <xdr:twoCellAnchor>
    <xdr:from>
      <xdr:col>7</xdr:col>
      <xdr:colOff>744855</xdr:colOff>
      <xdr:row>8</xdr:row>
      <xdr:rowOff>31115</xdr:rowOff>
    </xdr:from>
    <xdr:to>
      <xdr:col>8</xdr:col>
      <xdr:colOff>169649</xdr:colOff>
      <xdr:row>9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9DFD97E2-9379-40AA-9E94-366A66FD89AB}"/>
            </a:ext>
          </a:extLst>
        </xdr:cNvPr>
        <xdr:cNvSpPr/>
      </xdr:nvSpPr>
      <xdr:spPr>
        <a:xfrm>
          <a:off x="5332095" y="1669415"/>
          <a:ext cx="339194" cy="1441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t"/>
        <a:lstStyle/>
        <a:p>
          <a:endParaRPr lang="en-PH"/>
        </a:p>
      </xdr:txBody>
    </xdr:sp>
    <xdr:clientData/>
  </xdr:twoCellAnchor>
  <xdr:twoCellAnchor>
    <xdr:from>
      <xdr:col>10</xdr:col>
      <xdr:colOff>278765</xdr:colOff>
      <xdr:row>8</xdr:row>
      <xdr:rowOff>15240</xdr:rowOff>
    </xdr:from>
    <xdr:to>
      <xdr:col>10</xdr:col>
      <xdr:colOff>620395</xdr:colOff>
      <xdr:row>8</xdr:row>
      <xdr:rowOff>167640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74F3DEC5-5E14-4582-9D2B-6B382E940292}"/>
            </a:ext>
          </a:extLst>
        </xdr:cNvPr>
        <xdr:cNvSpPr/>
      </xdr:nvSpPr>
      <xdr:spPr>
        <a:xfrm>
          <a:off x="6740525" y="1653540"/>
          <a:ext cx="341630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t"/>
        <a:lstStyle/>
        <a:p>
          <a:endParaRPr lang="en-PH"/>
        </a:p>
      </xdr:txBody>
    </xdr:sp>
    <xdr:clientData/>
  </xdr:twoCellAnchor>
  <xdr:twoCellAnchor>
    <xdr:from>
      <xdr:col>1</xdr:col>
      <xdr:colOff>77470</xdr:colOff>
      <xdr:row>52</xdr:row>
      <xdr:rowOff>53340</xdr:rowOff>
    </xdr:from>
    <xdr:to>
      <xdr:col>1</xdr:col>
      <xdr:colOff>424899</xdr:colOff>
      <xdr:row>52</xdr:row>
      <xdr:rowOff>137160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E88DF5ED-2DF2-4D07-AF3F-0ED7B78D767A}"/>
            </a:ext>
          </a:extLst>
        </xdr:cNvPr>
        <xdr:cNvCxnSpPr/>
      </xdr:nvCxnSpPr>
      <xdr:spPr>
        <a:xfrm flipV="1">
          <a:off x="1060450" y="8481060"/>
          <a:ext cx="347429" cy="838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168910</xdr:colOff>
      <xdr:row>56</xdr:row>
      <xdr:rowOff>60960</xdr:rowOff>
    </xdr:from>
    <xdr:to>
      <xdr:col>1</xdr:col>
      <xdr:colOff>510540</xdr:colOff>
      <xdr:row>56</xdr:row>
      <xdr:rowOff>152400</xdr:rowOff>
    </xdr:to>
    <xdr:cxnSp macro="">
      <xdr:nvCxnSpPr>
        <xdr:cNvPr id="7" name="Straight Connector 7">
          <a:extLst>
            <a:ext uri="{FF2B5EF4-FFF2-40B4-BE49-F238E27FC236}">
              <a16:creationId xmlns:a16="http://schemas.microsoft.com/office/drawing/2014/main" id="{76B79A08-1678-47DE-89FA-A57F4729FF18}"/>
            </a:ext>
          </a:extLst>
        </xdr:cNvPr>
        <xdr:cNvCxnSpPr/>
      </xdr:nvCxnSpPr>
      <xdr:spPr>
        <a:xfrm flipV="1">
          <a:off x="1151890" y="8976360"/>
          <a:ext cx="341630" cy="914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349250</xdr:colOff>
      <xdr:row>0</xdr:row>
      <xdr:rowOff>31750</xdr:rowOff>
    </xdr:from>
    <xdr:to>
      <xdr:col>2</xdr:col>
      <xdr:colOff>495300</xdr:colOff>
      <xdr:row>3</xdr:row>
      <xdr:rowOff>57785</xdr:rowOff>
    </xdr:to>
    <xdr:pic>
      <xdr:nvPicPr>
        <xdr:cNvPr id="8" name="Picture 10" descr="lo">
          <a:extLst>
            <a:ext uri="{FF2B5EF4-FFF2-40B4-BE49-F238E27FC236}">
              <a16:creationId xmlns:a16="http://schemas.microsoft.com/office/drawing/2014/main" id="{A53CF218-22E0-4390-B1FE-D98C9A3DC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230" y="31750"/>
          <a:ext cx="76327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534035</xdr:colOff>
      <xdr:row>8</xdr:row>
      <xdr:rowOff>83820</xdr:rowOff>
    </xdr:from>
    <xdr:to>
      <xdr:col>4</xdr:col>
      <xdr:colOff>177165</xdr:colOff>
      <xdr:row>8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2B49C7A-254D-400E-9A80-0B16A4A20EEA}"/>
            </a:ext>
          </a:extLst>
        </xdr:cNvPr>
        <xdr:cNvCxnSpPr/>
      </xdr:nvCxnSpPr>
      <xdr:spPr>
        <a:xfrm flipV="1">
          <a:off x="2888615" y="1722120"/>
          <a:ext cx="694690" cy="68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202565</xdr:colOff>
      <xdr:row>39</xdr:row>
      <xdr:rowOff>180975</xdr:rowOff>
    </xdr:from>
    <xdr:ext cx="173934" cy="1952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BDEB3B-36D4-49A9-AF3B-42ECA7808147}"/>
            </a:ext>
          </a:extLst>
        </xdr:cNvPr>
        <xdr:cNvSpPr txBox="1"/>
      </xdr:nvSpPr>
      <xdr:spPr>
        <a:xfrm>
          <a:off x="3936365" y="7564755"/>
          <a:ext cx="173934" cy="19526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/>
        </a:p>
      </xdr:txBody>
    </xdr:sp>
    <xdr:clientData/>
  </xdr:oneCellAnchor>
  <xdr:oneCellAnchor>
    <xdr:from>
      <xdr:col>0</xdr:col>
      <xdr:colOff>318770</xdr:colOff>
      <xdr:row>40</xdr:row>
      <xdr:rowOff>11430</xdr:rowOff>
    </xdr:from>
    <xdr:ext cx="167722" cy="19047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536ECC-390B-4478-9287-A1DDB928CCE5}"/>
            </a:ext>
          </a:extLst>
        </xdr:cNvPr>
        <xdr:cNvSpPr txBox="1"/>
      </xdr:nvSpPr>
      <xdr:spPr>
        <a:xfrm>
          <a:off x="318770" y="7578090"/>
          <a:ext cx="167722" cy="19047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/>
        </a:p>
      </xdr:txBody>
    </xdr:sp>
    <xdr:clientData/>
  </xdr:oneCellAnchor>
  <xdr:oneCellAnchor>
    <xdr:from>
      <xdr:col>2</xdr:col>
      <xdr:colOff>200580</xdr:colOff>
      <xdr:row>41</xdr:row>
      <xdr:rowOff>173355</xdr:rowOff>
    </xdr:from>
    <xdr:ext cx="197297" cy="18224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30E7DB-5A2F-46F7-ACA6-D980C86CCA21}"/>
            </a:ext>
          </a:extLst>
        </xdr:cNvPr>
        <xdr:cNvSpPr txBox="1"/>
      </xdr:nvSpPr>
      <xdr:spPr>
        <a:xfrm>
          <a:off x="3934380" y="7922895"/>
          <a:ext cx="197297" cy="18224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/>
        </a:p>
      </xdr:txBody>
    </xdr:sp>
    <xdr:clientData/>
  </xdr:oneCellAnchor>
  <xdr:twoCellAnchor>
    <xdr:from>
      <xdr:col>0</xdr:col>
      <xdr:colOff>372110</xdr:colOff>
      <xdr:row>40</xdr:row>
      <xdr:rowOff>68580</xdr:rowOff>
    </xdr:from>
    <xdr:to>
      <xdr:col>0</xdr:col>
      <xdr:colOff>485459</xdr:colOff>
      <xdr:row>40</xdr:row>
      <xdr:rowOff>160020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AAD30A3-2871-455F-A118-1B904FC71FF4}"/>
            </a:ext>
          </a:extLst>
        </xdr:cNvPr>
        <xdr:cNvCxnSpPr/>
      </xdr:nvCxnSpPr>
      <xdr:spPr>
        <a:xfrm flipV="1">
          <a:off x="372110" y="7635240"/>
          <a:ext cx="113349" cy="914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240665</xdr:colOff>
      <xdr:row>40</xdr:row>
      <xdr:rowOff>53340</xdr:rowOff>
    </xdr:from>
    <xdr:to>
      <xdr:col>2</xdr:col>
      <xdr:colOff>334010</xdr:colOff>
      <xdr:row>40</xdr:row>
      <xdr:rowOff>126492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F34019B-2F90-418C-B25B-41BE9BF079C2}"/>
            </a:ext>
          </a:extLst>
        </xdr:cNvPr>
        <xdr:cNvCxnSpPr/>
      </xdr:nvCxnSpPr>
      <xdr:spPr>
        <a:xfrm flipV="1">
          <a:off x="3974465" y="7620000"/>
          <a:ext cx="93345" cy="731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rwin%20Metilla\Desktop\NAGUILIAN\2.%20DISBURSEMENT%20VOUCHER\LOIDA-DISBURSEMENT-VOUCHER-2023.xls" TargetMode="External"/><Relationship Id="rId1" Type="http://schemas.openxmlformats.org/officeDocument/2006/relationships/externalLinkPath" Target="/Users/Jerwin%20Metilla/Desktop/NAGUILIAN/2.%20DISBURSEMENT%20VOUCHER/LOIDA-DISBURSEMENT-VOUCHER-202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aguilian-2026%20new\NAGUILIAN%20FILES-new\NAGUILIAN%20PURCHASE\A&amp;M-%20NAGUILIAN%20-FINAL%20COPY\2025%20-%20A&amp;M-DV-PURCHASE%20PROCESS.xlsx" TargetMode="External"/><Relationship Id="rId1" Type="http://schemas.openxmlformats.org/officeDocument/2006/relationships/externalLinkPath" Target="/naguilian-2026%20new/NAGUILIAN%20FILES-new/NAGUILIAN%20PURCHASE/A&amp;M-%20NAGUILIAN%20-FINAL%20COPY/2025%20-%20A&amp;M-DV-PURCHASE%20PROC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"/>
      <sheetName val="VOUCHER"/>
      <sheetName val="editable computation"/>
      <sheetName val="LOIDA"/>
      <sheetName val="LOIDA (2)"/>
      <sheetName val="ORTEZA"/>
      <sheetName val="DONALD"/>
      <sheetName val="Lighthouse"/>
    </sheetNames>
    <sheetDataSet>
      <sheetData sheetId="0">
        <row r="1">
          <cell r="A1" t="str">
            <v>Advances For Operating Expenses</v>
          </cell>
          <cell r="B1">
            <v>1990101000</v>
          </cell>
        </row>
        <row r="2">
          <cell r="A2" t="str">
            <v>Advances for Payroll</v>
          </cell>
          <cell r="B2">
            <v>1990102000</v>
          </cell>
        </row>
        <row r="3">
          <cell r="A3" t="str">
            <v>Due to BIR</v>
          </cell>
          <cell r="B3">
            <v>2020101000</v>
          </cell>
        </row>
        <row r="4">
          <cell r="A4" t="str">
            <v>Cash-Modified Disbursement System (MDS) MOOE</v>
          </cell>
          <cell r="B4">
            <v>1010404000</v>
          </cell>
        </row>
        <row r="5">
          <cell r="A5" t="str">
            <v>Traveling Expenses- Local</v>
          </cell>
          <cell r="B5">
            <v>5020101000</v>
          </cell>
        </row>
        <row r="6">
          <cell r="A6" t="str">
            <v>Training  Expenses</v>
          </cell>
          <cell r="B6">
            <v>5020201000</v>
          </cell>
        </row>
        <row r="7">
          <cell r="A7" t="str">
            <v>Scholarship Grants/Expenses</v>
          </cell>
          <cell r="B7">
            <v>5020202000</v>
          </cell>
        </row>
        <row r="8">
          <cell r="A8" t="str">
            <v>Office Supplies Expenses</v>
          </cell>
          <cell r="B8">
            <v>5020301000</v>
          </cell>
        </row>
        <row r="9">
          <cell r="A9" t="str">
            <v>Accountable Forms Expenses</v>
          </cell>
          <cell r="B9">
            <v>5020302000</v>
          </cell>
        </row>
        <row r="10">
          <cell r="A10" t="str">
            <v>Non-Accountable Forms Expenses</v>
          </cell>
          <cell r="B10">
            <v>5020303000</v>
          </cell>
        </row>
        <row r="11">
          <cell r="A11" t="str">
            <v>Food Supplies Expenses</v>
          </cell>
          <cell r="B11">
            <v>5020305000</v>
          </cell>
        </row>
        <row r="12">
          <cell r="A12" t="str">
            <v>Welfare Goods Expenses</v>
          </cell>
          <cell r="B12">
            <v>5020306000</v>
          </cell>
        </row>
        <row r="13">
          <cell r="A13" t="str">
            <v>Drugs &amp; Medicines Expenses</v>
          </cell>
          <cell r="B13">
            <v>5020307000</v>
          </cell>
        </row>
        <row r="14">
          <cell r="A14" t="str">
            <v>Medical, Dental and Labiratory Supplies Expenses</v>
          </cell>
          <cell r="B14">
            <v>5020308000</v>
          </cell>
        </row>
        <row r="15">
          <cell r="A15" t="str">
            <v>Fuel, Oil &amp; Lubricants Expenses</v>
          </cell>
          <cell r="B15">
            <v>5020309000</v>
          </cell>
        </row>
        <row r="16">
          <cell r="A16" t="str">
            <v>Text Book and Instructional Materials Expenses</v>
          </cell>
          <cell r="B16">
            <v>5020311001</v>
          </cell>
        </row>
        <row r="17">
          <cell r="A17" t="str">
            <v>Other Supplies and Materials Expenses</v>
          </cell>
          <cell r="B17">
            <v>5020399000</v>
          </cell>
        </row>
        <row r="18">
          <cell r="A18" t="str">
            <v>Water Expenses</v>
          </cell>
          <cell r="B18">
            <v>5020401000</v>
          </cell>
        </row>
        <row r="19">
          <cell r="A19" t="str">
            <v>Electricity Expenses</v>
          </cell>
          <cell r="B19">
            <v>5020402000</v>
          </cell>
        </row>
        <row r="20">
          <cell r="A20" t="str">
            <v>Postage &amp; Courier Services</v>
          </cell>
          <cell r="B20">
            <v>5020501000</v>
          </cell>
        </row>
        <row r="21">
          <cell r="A21" t="str">
            <v>Telephone Expenses</v>
          </cell>
          <cell r="B21">
            <v>5020502000</v>
          </cell>
        </row>
        <row r="22">
          <cell r="A22" t="str">
            <v>Internet Subscription Expenses</v>
          </cell>
          <cell r="B22">
            <v>5020503000</v>
          </cell>
        </row>
        <row r="23">
          <cell r="A23" t="str">
            <v>Cable,Satellite,Telegraph &amp; Radio Expenses</v>
          </cell>
          <cell r="B23">
            <v>5020504000</v>
          </cell>
        </row>
        <row r="24">
          <cell r="A24" t="str">
            <v>Awards/Rewards Expenses</v>
          </cell>
          <cell r="B24">
            <v>5020601000</v>
          </cell>
        </row>
        <row r="25">
          <cell r="A25" t="str">
            <v>Prizes</v>
          </cell>
          <cell r="B25">
            <v>5020602000</v>
          </cell>
        </row>
        <row r="26">
          <cell r="A26" t="str">
            <v>Survey Expenses</v>
          </cell>
          <cell r="B26">
            <v>5020701000</v>
          </cell>
        </row>
        <row r="27">
          <cell r="A27" t="str">
            <v>Research, Exploration and Development Expenses</v>
          </cell>
          <cell r="B27">
            <v>5020702000</v>
          </cell>
        </row>
        <row r="28">
          <cell r="A28" t="str">
            <v>Demolition and Relocation Expenses</v>
          </cell>
          <cell r="B28">
            <v>5020801000</v>
          </cell>
        </row>
        <row r="29">
          <cell r="A29" t="str">
            <v>Diselting and Dredging Expenses</v>
          </cell>
          <cell r="B29">
            <v>5020802000</v>
          </cell>
        </row>
        <row r="30">
          <cell r="A30" t="str">
            <v>Generation, Transmission and Distribution Expenses</v>
          </cell>
          <cell r="B30">
            <v>5020901000</v>
          </cell>
        </row>
        <row r="31">
          <cell r="A31" t="str">
            <v>Confidential Expenses</v>
          </cell>
          <cell r="B31">
            <v>5021001000</v>
          </cell>
        </row>
        <row r="32">
          <cell r="A32" t="str">
            <v>Intelligence Expenses</v>
          </cell>
          <cell r="B32">
            <v>5021002000</v>
          </cell>
        </row>
        <row r="33">
          <cell r="A33" t="str">
            <v>Extraordinary and Miscellaneous Expenses</v>
          </cell>
          <cell r="B33">
            <v>5021003000</v>
          </cell>
        </row>
        <row r="34">
          <cell r="A34" t="str">
            <v>Legal Services</v>
          </cell>
          <cell r="B34">
            <v>5021101000</v>
          </cell>
        </row>
        <row r="35">
          <cell r="A35" t="str">
            <v>Auditing Services</v>
          </cell>
          <cell r="B35">
            <v>5021101000</v>
          </cell>
        </row>
        <row r="36">
          <cell r="A36" t="str">
            <v>Consultancy Services</v>
          </cell>
          <cell r="B36">
            <v>5021103000</v>
          </cell>
        </row>
        <row r="37">
          <cell r="A37" t="str">
            <v>Other Professional Services</v>
          </cell>
          <cell r="B37">
            <v>5021199000</v>
          </cell>
        </row>
        <row r="38">
          <cell r="A38" t="str">
            <v>Environment/Sanitary Services</v>
          </cell>
          <cell r="B38">
            <v>5021201000</v>
          </cell>
        </row>
        <row r="39">
          <cell r="A39" t="str">
            <v>Janitorial Services</v>
          </cell>
          <cell r="B39">
            <v>5021202000</v>
          </cell>
        </row>
        <row r="40">
          <cell r="A40" t="str">
            <v>Security Services</v>
          </cell>
          <cell r="B40">
            <v>5021203000</v>
          </cell>
        </row>
        <row r="41">
          <cell r="A41" t="str">
            <v>Other General Services</v>
          </cell>
          <cell r="B41">
            <v>5021199000</v>
          </cell>
        </row>
        <row r="42">
          <cell r="A42" t="str">
            <v>Repairs &amp; Maintenance -Other Land Improvements</v>
          </cell>
          <cell r="B42">
            <v>5021302099</v>
          </cell>
        </row>
        <row r="43">
          <cell r="A43" t="str">
            <v>Repairs &amp; Maintenance -Road Networks</v>
          </cell>
          <cell r="B43">
            <v>5021303001</v>
          </cell>
        </row>
        <row r="44">
          <cell r="A44" t="str">
            <v>Repairs &amp; Maintenance -Flood Control Systems</v>
          </cell>
          <cell r="B44">
            <v>5021303002</v>
          </cell>
        </row>
        <row r="45">
          <cell r="A45" t="str">
            <v>Repairs &amp; Maintenance -Sewer Systems</v>
          </cell>
          <cell r="B45">
            <v>5021303003</v>
          </cell>
        </row>
        <row r="46">
          <cell r="A46" t="str">
            <v>Repairs &amp; Maintenance -Water Supply Systems</v>
          </cell>
          <cell r="B46">
            <v>5021303004</v>
          </cell>
        </row>
        <row r="47">
          <cell r="A47" t="str">
            <v>Repairs &amp; Maintenance -Power Supply System</v>
          </cell>
          <cell r="B47">
            <v>5021303005</v>
          </cell>
        </row>
        <row r="48">
          <cell r="A48" t="str">
            <v>Repairs &amp; Maintenance -Communication Networks</v>
          </cell>
          <cell r="B48">
            <v>5021303006</v>
          </cell>
        </row>
        <row r="49">
          <cell r="A49" t="str">
            <v>Repairs &amp; Maintenance -Other Infrastractures Assets</v>
          </cell>
          <cell r="B49">
            <v>5021303099</v>
          </cell>
        </row>
        <row r="50">
          <cell r="A50" t="str">
            <v>Repairs &amp; Maintenance -Buildings</v>
          </cell>
          <cell r="B50">
            <v>5021304001</v>
          </cell>
        </row>
        <row r="51">
          <cell r="A51" t="str">
            <v>Repairs &amp; Maintenance -School Buildings</v>
          </cell>
          <cell r="B51">
            <v>5021304002</v>
          </cell>
        </row>
        <row r="52">
          <cell r="A52" t="str">
            <v>Repairs &amp; Maintenance -Other Structures</v>
          </cell>
          <cell r="B52">
            <v>5021304099</v>
          </cell>
        </row>
        <row r="53">
          <cell r="A53" t="str">
            <v>Repairs &amp; Maintenance -Machinery</v>
          </cell>
          <cell r="B53">
            <v>5021305001</v>
          </cell>
        </row>
        <row r="54">
          <cell r="A54" t="str">
            <v>Repairs &amp; Maintenance -Office Equipment</v>
          </cell>
          <cell r="B54">
            <v>5021305002</v>
          </cell>
        </row>
        <row r="55">
          <cell r="A55" t="str">
            <v xml:space="preserve">Repairs &amp; Maintenance -Information and Communication Technology  Equipment </v>
          </cell>
          <cell r="B55">
            <v>5021305003</v>
          </cell>
        </row>
        <row r="56">
          <cell r="A56" t="str">
            <v>Repairs &amp; Maintenance -Communication Equipment</v>
          </cell>
          <cell r="B56">
            <v>5021305007</v>
          </cell>
        </row>
        <row r="57">
          <cell r="A57" t="str">
            <v>Repairs &amp; Maintenance -Printing Equipment</v>
          </cell>
          <cell r="B57">
            <v>5021305012</v>
          </cell>
        </row>
        <row r="58">
          <cell r="A58" t="str">
            <v>Repairs &amp; Maintenance -Sports Equipment</v>
          </cell>
          <cell r="B58">
            <v>5021305013</v>
          </cell>
        </row>
        <row r="59">
          <cell r="A59" t="str">
            <v xml:space="preserve">Repairs &amp; Maintenance -Technical and Scientific  Equipment </v>
          </cell>
          <cell r="B59">
            <v>5021305014</v>
          </cell>
        </row>
        <row r="60">
          <cell r="A60" t="str">
            <v xml:space="preserve">Repairs &amp; Maintenance -Other Machinery and Equipment </v>
          </cell>
          <cell r="B60">
            <v>5021305099</v>
          </cell>
        </row>
        <row r="61">
          <cell r="A61" t="str">
            <v>Repairs &amp; Maintenance -Motor Vehicles</v>
          </cell>
          <cell r="B61">
            <v>5021306001</v>
          </cell>
        </row>
        <row r="62">
          <cell r="A62" t="str">
            <v>Repairs &amp; Maintenance -Water Crafts</v>
          </cell>
          <cell r="B62">
            <v>5021306004</v>
          </cell>
        </row>
        <row r="63">
          <cell r="A63" t="str">
            <v>Repairs &amp; Maintenance -Other Transportation Equipments</v>
          </cell>
          <cell r="B63">
            <v>5021306099</v>
          </cell>
        </row>
        <row r="64">
          <cell r="A64" t="str">
            <v>Repairs &amp; Maintenance -Furniture and Fixtures</v>
          </cell>
          <cell r="B64">
            <v>5021307000</v>
          </cell>
        </row>
        <row r="65">
          <cell r="A65" t="str">
            <v>Repairs &amp; Maintenance -Other Property, Plant and Equipment</v>
          </cell>
          <cell r="B65">
            <v>5021399099</v>
          </cell>
        </row>
        <row r="66">
          <cell r="A66" t="str">
            <v>Taxes, Duties &amp; Licenses</v>
          </cell>
          <cell r="B66">
            <v>5021501000</v>
          </cell>
        </row>
        <row r="67">
          <cell r="A67" t="str">
            <v>Fidelity Bond Premiums</v>
          </cell>
          <cell r="B67">
            <v>5021502000</v>
          </cell>
        </row>
        <row r="68">
          <cell r="A68" t="str">
            <v>Insurance Expenses</v>
          </cell>
          <cell r="B68">
            <v>5021503000</v>
          </cell>
        </row>
        <row r="69">
          <cell r="A69" t="str">
            <v>Labor and Wages</v>
          </cell>
          <cell r="B69">
            <v>5021601000</v>
          </cell>
        </row>
        <row r="70">
          <cell r="A70" t="str">
            <v>Advertising Expenses</v>
          </cell>
          <cell r="B70">
            <v>5029901000</v>
          </cell>
        </row>
        <row r="71">
          <cell r="A71" t="str">
            <v>Printing &amp; Publication Expenses</v>
          </cell>
          <cell r="B71">
            <v>5029902000</v>
          </cell>
        </row>
        <row r="72">
          <cell r="A72" t="str">
            <v>Representation Expenses</v>
          </cell>
          <cell r="B72">
            <v>5029903000</v>
          </cell>
        </row>
        <row r="73">
          <cell r="A73" t="str">
            <v>Transportation &amp; Delivery Expenses</v>
          </cell>
          <cell r="B73">
            <v>5029904000</v>
          </cell>
        </row>
        <row r="74">
          <cell r="A74" t="str">
            <v>Rent/Lease Expenses</v>
          </cell>
          <cell r="B74">
            <v>5029905000</v>
          </cell>
        </row>
        <row r="75">
          <cell r="A75" t="str">
            <v>MembershipDues and Contributions to Organizations</v>
          </cell>
          <cell r="B75">
            <v>5029906000</v>
          </cell>
        </row>
        <row r="76">
          <cell r="A76" t="str">
            <v>Subscription Expenses</v>
          </cell>
          <cell r="B76">
            <v>5029907000</v>
          </cell>
        </row>
        <row r="77">
          <cell r="A77" t="str">
            <v>Donations</v>
          </cell>
          <cell r="B77">
            <v>5029908000</v>
          </cell>
        </row>
        <row r="78">
          <cell r="A78" t="str">
            <v>Litigation/Acquired Assets Expenses</v>
          </cell>
          <cell r="B78">
            <v>5029909000</v>
          </cell>
        </row>
        <row r="79">
          <cell r="A79" t="str">
            <v>Other Maintenance &amp; Operating Expenses</v>
          </cell>
          <cell r="B79">
            <v>5029999000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- A&amp;M(3copies)"/>
      <sheetName val="5% A&amp;M(3 COPIES)"/>
      <sheetName val="PO-A&amp;M(3copies)"/>
      <sheetName val="PO-A&amp;M(3copies) (2)"/>
      <sheetName val="CANVASS A&amp;M(3copies)"/>
      <sheetName val="PR-A&amp;m"/>
      <sheetName val=" AO A&amp;M"/>
      <sheetName val="iar-A&amp;M"/>
      <sheetName val="RIS-A&amp;M"/>
      <sheetName val="program of works (2)"/>
      <sheetName val="program of works"/>
      <sheetName val="Sheet1"/>
      <sheetName val="custodian property"/>
      <sheetName val="DV-blank"/>
      <sheetName val="RIS- Lighthouse (2)"/>
      <sheetName val="PR-LIGHHOUSE (2)"/>
      <sheetName val="CANVASS-LIGHTHOUSE (2)"/>
      <sheetName val="PO-LIGHTHOUSE (2)"/>
      <sheetName val="IAR-LIGHTHOUSE (2)"/>
    </sheetNames>
    <sheetDataSet>
      <sheetData sheetId="0"/>
      <sheetData sheetId="1"/>
      <sheetData sheetId="2">
        <row r="19">
          <cell r="B19" t="str">
            <v>ream</v>
          </cell>
        </row>
      </sheetData>
      <sheetData sheetId="3"/>
      <sheetData sheetId="4"/>
      <sheetData sheetId="5">
        <row r="11">
          <cell r="C11" t="str">
            <v>ream</v>
          </cell>
          <cell r="D11" t="str">
            <v>PVC cover</v>
          </cell>
          <cell r="E11">
            <v>2</v>
          </cell>
        </row>
        <row r="12">
          <cell r="C12" t="str">
            <v>ream</v>
          </cell>
          <cell r="D12" t="str">
            <v>Vellum board</v>
          </cell>
          <cell r="E12">
            <v>1</v>
          </cell>
        </row>
        <row r="13">
          <cell r="C13" t="str">
            <v>pcs</v>
          </cell>
          <cell r="D13" t="str">
            <v>Logbook</v>
          </cell>
          <cell r="E13">
            <v>2</v>
          </cell>
        </row>
        <row r="14">
          <cell r="C14" t="str">
            <v>roll</v>
          </cell>
          <cell r="D14" t="str">
            <v>Duct Tape</v>
          </cell>
          <cell r="E14">
            <v>4</v>
          </cell>
        </row>
        <row r="15">
          <cell r="C15" t="str">
            <v>box</v>
          </cell>
          <cell r="D15" t="str">
            <v>Paper clip (L)</v>
          </cell>
          <cell r="E15">
            <v>1</v>
          </cell>
        </row>
        <row r="16">
          <cell r="C16" t="str">
            <v>box</v>
          </cell>
          <cell r="D16" t="str">
            <v>Paper clip (S)</v>
          </cell>
          <cell r="E16">
            <v>1</v>
          </cell>
        </row>
      </sheetData>
      <sheetData sheetId="6"/>
      <sheetData sheetId="7"/>
      <sheetData sheetId="8">
        <row r="6">
          <cell r="G6" t="str">
            <v>2026-10</v>
          </cell>
        </row>
        <row r="31">
          <cell r="C31" t="str">
            <v>Purchase for the school supplies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E9A1-BDD7-44B5-A3F9-96203FC0BA79}">
  <sheetPr>
    <tabColor rgb="FFFFFF00"/>
  </sheetPr>
  <dimension ref="A1:S1420"/>
  <sheetViews>
    <sheetView view="pageBreakPreview" topLeftCell="A10" zoomScale="102" zoomScaleNormal="50" workbookViewId="0">
      <selection activeCell="G62" sqref="G62"/>
    </sheetView>
  </sheetViews>
  <sheetFormatPr defaultColWidth="9.109375" defaultRowHeight="13.8" x14ac:dyDescent="0.3"/>
  <cols>
    <col min="1" max="1" width="14.33203125" style="2" customWidth="1"/>
    <col min="2" max="2" width="9" style="2" customWidth="1"/>
    <col min="3" max="3" width="11" style="2" customWidth="1"/>
    <col min="4" max="4" width="15.33203125" style="2" customWidth="1"/>
    <col min="5" max="5" width="10.77734375" style="2" customWidth="1"/>
    <col min="6" max="6" width="1.33203125" style="2" customWidth="1"/>
    <col min="7" max="7" width="5.109375" style="2" customWidth="1"/>
    <col min="8" max="8" width="13.33203125" style="2" customWidth="1"/>
    <col min="9" max="9" width="4.88671875" style="2" customWidth="1"/>
    <col min="10" max="10" width="9.109375" style="2" customWidth="1"/>
    <col min="11" max="11" width="16.21875" style="2" customWidth="1"/>
    <col min="12" max="12" width="17.109375" style="2" customWidth="1"/>
    <col min="13" max="13" width="15.44140625" style="2" customWidth="1"/>
    <col min="14" max="14" width="23.109375" style="2" customWidth="1"/>
    <col min="15" max="15" width="15.88671875" style="2" customWidth="1"/>
    <col min="16" max="16" width="14.6640625" style="2" customWidth="1"/>
    <col min="17" max="17" width="26.5546875" style="2" customWidth="1"/>
    <col min="18" max="18" width="17.109375" style="2" customWidth="1"/>
    <col min="19" max="19" width="17.5546875" style="2" customWidth="1"/>
    <col min="20" max="20" width="16.44140625" style="2" customWidth="1"/>
    <col min="21" max="21" width="10" style="2" bestFit="1" customWidth="1"/>
    <col min="22" max="256" width="9.109375" style="2"/>
    <col min="257" max="257" width="14.33203125" style="2" customWidth="1"/>
    <col min="258" max="258" width="9" style="2" customWidth="1"/>
    <col min="259" max="259" width="11" style="2" customWidth="1"/>
    <col min="260" max="260" width="15.33203125" style="2" customWidth="1"/>
    <col min="261" max="261" width="10.77734375" style="2" customWidth="1"/>
    <col min="262" max="262" width="1.33203125" style="2" customWidth="1"/>
    <col min="263" max="263" width="5.109375" style="2" customWidth="1"/>
    <col min="264" max="264" width="13.33203125" style="2" customWidth="1"/>
    <col min="265" max="265" width="4.88671875" style="2" customWidth="1"/>
    <col min="266" max="266" width="9.109375" style="2"/>
    <col min="267" max="267" width="16.21875" style="2" customWidth="1"/>
    <col min="268" max="268" width="17.109375" style="2" customWidth="1"/>
    <col min="269" max="269" width="15.44140625" style="2" customWidth="1"/>
    <col min="270" max="270" width="23.109375" style="2" customWidth="1"/>
    <col min="271" max="271" width="15.88671875" style="2" customWidth="1"/>
    <col min="272" max="272" width="14.6640625" style="2" customWidth="1"/>
    <col min="273" max="273" width="26.5546875" style="2" customWidth="1"/>
    <col min="274" max="274" width="17.109375" style="2" customWidth="1"/>
    <col min="275" max="275" width="17.5546875" style="2" customWidth="1"/>
    <col min="276" max="276" width="16.44140625" style="2" customWidth="1"/>
    <col min="277" max="277" width="10" style="2" bestFit="1" customWidth="1"/>
    <col min="278" max="512" width="9.109375" style="2"/>
    <col min="513" max="513" width="14.33203125" style="2" customWidth="1"/>
    <col min="514" max="514" width="9" style="2" customWidth="1"/>
    <col min="515" max="515" width="11" style="2" customWidth="1"/>
    <col min="516" max="516" width="15.33203125" style="2" customWidth="1"/>
    <col min="517" max="517" width="10.77734375" style="2" customWidth="1"/>
    <col min="518" max="518" width="1.33203125" style="2" customWidth="1"/>
    <col min="519" max="519" width="5.109375" style="2" customWidth="1"/>
    <col min="520" max="520" width="13.33203125" style="2" customWidth="1"/>
    <col min="521" max="521" width="4.88671875" style="2" customWidth="1"/>
    <col min="522" max="522" width="9.109375" style="2"/>
    <col min="523" max="523" width="16.21875" style="2" customWidth="1"/>
    <col min="524" max="524" width="17.109375" style="2" customWidth="1"/>
    <col min="525" max="525" width="15.44140625" style="2" customWidth="1"/>
    <col min="526" max="526" width="23.109375" style="2" customWidth="1"/>
    <col min="527" max="527" width="15.88671875" style="2" customWidth="1"/>
    <col min="528" max="528" width="14.6640625" style="2" customWidth="1"/>
    <col min="529" max="529" width="26.5546875" style="2" customWidth="1"/>
    <col min="530" max="530" width="17.109375" style="2" customWidth="1"/>
    <col min="531" max="531" width="17.5546875" style="2" customWidth="1"/>
    <col min="532" max="532" width="16.44140625" style="2" customWidth="1"/>
    <col min="533" max="533" width="10" style="2" bestFit="1" customWidth="1"/>
    <col min="534" max="768" width="9.109375" style="2"/>
    <col min="769" max="769" width="14.33203125" style="2" customWidth="1"/>
    <col min="770" max="770" width="9" style="2" customWidth="1"/>
    <col min="771" max="771" width="11" style="2" customWidth="1"/>
    <col min="772" max="772" width="15.33203125" style="2" customWidth="1"/>
    <col min="773" max="773" width="10.77734375" style="2" customWidth="1"/>
    <col min="774" max="774" width="1.33203125" style="2" customWidth="1"/>
    <col min="775" max="775" width="5.109375" style="2" customWidth="1"/>
    <col min="776" max="776" width="13.33203125" style="2" customWidth="1"/>
    <col min="777" max="777" width="4.88671875" style="2" customWidth="1"/>
    <col min="778" max="778" width="9.109375" style="2"/>
    <col min="779" max="779" width="16.21875" style="2" customWidth="1"/>
    <col min="780" max="780" width="17.109375" style="2" customWidth="1"/>
    <col min="781" max="781" width="15.44140625" style="2" customWidth="1"/>
    <col min="782" max="782" width="23.109375" style="2" customWidth="1"/>
    <col min="783" max="783" width="15.88671875" style="2" customWidth="1"/>
    <col min="784" max="784" width="14.6640625" style="2" customWidth="1"/>
    <col min="785" max="785" width="26.5546875" style="2" customWidth="1"/>
    <col min="786" max="786" width="17.109375" style="2" customWidth="1"/>
    <col min="787" max="787" width="17.5546875" style="2" customWidth="1"/>
    <col min="788" max="788" width="16.44140625" style="2" customWidth="1"/>
    <col min="789" max="789" width="10" style="2" bestFit="1" customWidth="1"/>
    <col min="790" max="1024" width="9.109375" style="2"/>
    <col min="1025" max="1025" width="14.33203125" style="2" customWidth="1"/>
    <col min="1026" max="1026" width="9" style="2" customWidth="1"/>
    <col min="1027" max="1027" width="11" style="2" customWidth="1"/>
    <col min="1028" max="1028" width="15.33203125" style="2" customWidth="1"/>
    <col min="1029" max="1029" width="10.77734375" style="2" customWidth="1"/>
    <col min="1030" max="1030" width="1.33203125" style="2" customWidth="1"/>
    <col min="1031" max="1031" width="5.109375" style="2" customWidth="1"/>
    <col min="1032" max="1032" width="13.33203125" style="2" customWidth="1"/>
    <col min="1033" max="1033" width="4.88671875" style="2" customWidth="1"/>
    <col min="1034" max="1034" width="9.109375" style="2"/>
    <col min="1035" max="1035" width="16.21875" style="2" customWidth="1"/>
    <col min="1036" max="1036" width="17.109375" style="2" customWidth="1"/>
    <col min="1037" max="1037" width="15.44140625" style="2" customWidth="1"/>
    <col min="1038" max="1038" width="23.109375" style="2" customWidth="1"/>
    <col min="1039" max="1039" width="15.88671875" style="2" customWidth="1"/>
    <col min="1040" max="1040" width="14.6640625" style="2" customWidth="1"/>
    <col min="1041" max="1041" width="26.5546875" style="2" customWidth="1"/>
    <col min="1042" max="1042" width="17.109375" style="2" customWidth="1"/>
    <col min="1043" max="1043" width="17.5546875" style="2" customWidth="1"/>
    <col min="1044" max="1044" width="16.44140625" style="2" customWidth="1"/>
    <col min="1045" max="1045" width="10" style="2" bestFit="1" customWidth="1"/>
    <col min="1046" max="1280" width="9.109375" style="2"/>
    <col min="1281" max="1281" width="14.33203125" style="2" customWidth="1"/>
    <col min="1282" max="1282" width="9" style="2" customWidth="1"/>
    <col min="1283" max="1283" width="11" style="2" customWidth="1"/>
    <col min="1284" max="1284" width="15.33203125" style="2" customWidth="1"/>
    <col min="1285" max="1285" width="10.77734375" style="2" customWidth="1"/>
    <col min="1286" max="1286" width="1.33203125" style="2" customWidth="1"/>
    <col min="1287" max="1287" width="5.109375" style="2" customWidth="1"/>
    <col min="1288" max="1288" width="13.33203125" style="2" customWidth="1"/>
    <col min="1289" max="1289" width="4.88671875" style="2" customWidth="1"/>
    <col min="1290" max="1290" width="9.109375" style="2"/>
    <col min="1291" max="1291" width="16.21875" style="2" customWidth="1"/>
    <col min="1292" max="1292" width="17.109375" style="2" customWidth="1"/>
    <col min="1293" max="1293" width="15.44140625" style="2" customWidth="1"/>
    <col min="1294" max="1294" width="23.109375" style="2" customWidth="1"/>
    <col min="1295" max="1295" width="15.88671875" style="2" customWidth="1"/>
    <col min="1296" max="1296" width="14.6640625" style="2" customWidth="1"/>
    <col min="1297" max="1297" width="26.5546875" style="2" customWidth="1"/>
    <col min="1298" max="1298" width="17.109375" style="2" customWidth="1"/>
    <col min="1299" max="1299" width="17.5546875" style="2" customWidth="1"/>
    <col min="1300" max="1300" width="16.44140625" style="2" customWidth="1"/>
    <col min="1301" max="1301" width="10" style="2" bestFit="1" customWidth="1"/>
    <col min="1302" max="1536" width="9.109375" style="2"/>
    <col min="1537" max="1537" width="14.33203125" style="2" customWidth="1"/>
    <col min="1538" max="1538" width="9" style="2" customWidth="1"/>
    <col min="1539" max="1539" width="11" style="2" customWidth="1"/>
    <col min="1540" max="1540" width="15.33203125" style="2" customWidth="1"/>
    <col min="1541" max="1541" width="10.77734375" style="2" customWidth="1"/>
    <col min="1542" max="1542" width="1.33203125" style="2" customWidth="1"/>
    <col min="1543" max="1543" width="5.109375" style="2" customWidth="1"/>
    <col min="1544" max="1544" width="13.33203125" style="2" customWidth="1"/>
    <col min="1545" max="1545" width="4.88671875" style="2" customWidth="1"/>
    <col min="1546" max="1546" width="9.109375" style="2"/>
    <col min="1547" max="1547" width="16.21875" style="2" customWidth="1"/>
    <col min="1548" max="1548" width="17.109375" style="2" customWidth="1"/>
    <col min="1549" max="1549" width="15.44140625" style="2" customWidth="1"/>
    <col min="1550" max="1550" width="23.109375" style="2" customWidth="1"/>
    <col min="1551" max="1551" width="15.88671875" style="2" customWidth="1"/>
    <col min="1552" max="1552" width="14.6640625" style="2" customWidth="1"/>
    <col min="1553" max="1553" width="26.5546875" style="2" customWidth="1"/>
    <col min="1554" max="1554" width="17.109375" style="2" customWidth="1"/>
    <col min="1555" max="1555" width="17.5546875" style="2" customWidth="1"/>
    <col min="1556" max="1556" width="16.44140625" style="2" customWidth="1"/>
    <col min="1557" max="1557" width="10" style="2" bestFit="1" customWidth="1"/>
    <col min="1558" max="1792" width="9.109375" style="2"/>
    <col min="1793" max="1793" width="14.33203125" style="2" customWidth="1"/>
    <col min="1794" max="1794" width="9" style="2" customWidth="1"/>
    <col min="1795" max="1795" width="11" style="2" customWidth="1"/>
    <col min="1796" max="1796" width="15.33203125" style="2" customWidth="1"/>
    <col min="1797" max="1797" width="10.77734375" style="2" customWidth="1"/>
    <col min="1798" max="1798" width="1.33203125" style="2" customWidth="1"/>
    <col min="1799" max="1799" width="5.109375" style="2" customWidth="1"/>
    <col min="1800" max="1800" width="13.33203125" style="2" customWidth="1"/>
    <col min="1801" max="1801" width="4.88671875" style="2" customWidth="1"/>
    <col min="1802" max="1802" width="9.109375" style="2"/>
    <col min="1803" max="1803" width="16.21875" style="2" customWidth="1"/>
    <col min="1804" max="1804" width="17.109375" style="2" customWidth="1"/>
    <col min="1805" max="1805" width="15.44140625" style="2" customWidth="1"/>
    <col min="1806" max="1806" width="23.109375" style="2" customWidth="1"/>
    <col min="1807" max="1807" width="15.88671875" style="2" customWidth="1"/>
    <col min="1808" max="1808" width="14.6640625" style="2" customWidth="1"/>
    <col min="1809" max="1809" width="26.5546875" style="2" customWidth="1"/>
    <col min="1810" max="1810" width="17.109375" style="2" customWidth="1"/>
    <col min="1811" max="1811" width="17.5546875" style="2" customWidth="1"/>
    <col min="1812" max="1812" width="16.44140625" style="2" customWidth="1"/>
    <col min="1813" max="1813" width="10" style="2" bestFit="1" customWidth="1"/>
    <col min="1814" max="2048" width="9.109375" style="2"/>
    <col min="2049" max="2049" width="14.33203125" style="2" customWidth="1"/>
    <col min="2050" max="2050" width="9" style="2" customWidth="1"/>
    <col min="2051" max="2051" width="11" style="2" customWidth="1"/>
    <col min="2052" max="2052" width="15.33203125" style="2" customWidth="1"/>
    <col min="2053" max="2053" width="10.77734375" style="2" customWidth="1"/>
    <col min="2054" max="2054" width="1.33203125" style="2" customWidth="1"/>
    <col min="2055" max="2055" width="5.109375" style="2" customWidth="1"/>
    <col min="2056" max="2056" width="13.33203125" style="2" customWidth="1"/>
    <col min="2057" max="2057" width="4.88671875" style="2" customWidth="1"/>
    <col min="2058" max="2058" width="9.109375" style="2"/>
    <col min="2059" max="2059" width="16.21875" style="2" customWidth="1"/>
    <col min="2060" max="2060" width="17.109375" style="2" customWidth="1"/>
    <col min="2061" max="2061" width="15.44140625" style="2" customWidth="1"/>
    <col min="2062" max="2062" width="23.109375" style="2" customWidth="1"/>
    <col min="2063" max="2063" width="15.88671875" style="2" customWidth="1"/>
    <col min="2064" max="2064" width="14.6640625" style="2" customWidth="1"/>
    <col min="2065" max="2065" width="26.5546875" style="2" customWidth="1"/>
    <col min="2066" max="2066" width="17.109375" style="2" customWidth="1"/>
    <col min="2067" max="2067" width="17.5546875" style="2" customWidth="1"/>
    <col min="2068" max="2068" width="16.44140625" style="2" customWidth="1"/>
    <col min="2069" max="2069" width="10" style="2" bestFit="1" customWidth="1"/>
    <col min="2070" max="2304" width="9.109375" style="2"/>
    <col min="2305" max="2305" width="14.33203125" style="2" customWidth="1"/>
    <col min="2306" max="2306" width="9" style="2" customWidth="1"/>
    <col min="2307" max="2307" width="11" style="2" customWidth="1"/>
    <col min="2308" max="2308" width="15.33203125" style="2" customWidth="1"/>
    <col min="2309" max="2309" width="10.77734375" style="2" customWidth="1"/>
    <col min="2310" max="2310" width="1.33203125" style="2" customWidth="1"/>
    <col min="2311" max="2311" width="5.109375" style="2" customWidth="1"/>
    <col min="2312" max="2312" width="13.33203125" style="2" customWidth="1"/>
    <col min="2313" max="2313" width="4.88671875" style="2" customWidth="1"/>
    <col min="2314" max="2314" width="9.109375" style="2"/>
    <col min="2315" max="2315" width="16.21875" style="2" customWidth="1"/>
    <col min="2316" max="2316" width="17.109375" style="2" customWidth="1"/>
    <col min="2317" max="2317" width="15.44140625" style="2" customWidth="1"/>
    <col min="2318" max="2318" width="23.109375" style="2" customWidth="1"/>
    <col min="2319" max="2319" width="15.88671875" style="2" customWidth="1"/>
    <col min="2320" max="2320" width="14.6640625" style="2" customWidth="1"/>
    <col min="2321" max="2321" width="26.5546875" style="2" customWidth="1"/>
    <col min="2322" max="2322" width="17.109375" style="2" customWidth="1"/>
    <col min="2323" max="2323" width="17.5546875" style="2" customWidth="1"/>
    <col min="2324" max="2324" width="16.44140625" style="2" customWidth="1"/>
    <col min="2325" max="2325" width="10" style="2" bestFit="1" customWidth="1"/>
    <col min="2326" max="2560" width="9.109375" style="2"/>
    <col min="2561" max="2561" width="14.33203125" style="2" customWidth="1"/>
    <col min="2562" max="2562" width="9" style="2" customWidth="1"/>
    <col min="2563" max="2563" width="11" style="2" customWidth="1"/>
    <col min="2564" max="2564" width="15.33203125" style="2" customWidth="1"/>
    <col min="2565" max="2565" width="10.77734375" style="2" customWidth="1"/>
    <col min="2566" max="2566" width="1.33203125" style="2" customWidth="1"/>
    <col min="2567" max="2567" width="5.109375" style="2" customWidth="1"/>
    <col min="2568" max="2568" width="13.33203125" style="2" customWidth="1"/>
    <col min="2569" max="2569" width="4.88671875" style="2" customWidth="1"/>
    <col min="2570" max="2570" width="9.109375" style="2"/>
    <col min="2571" max="2571" width="16.21875" style="2" customWidth="1"/>
    <col min="2572" max="2572" width="17.109375" style="2" customWidth="1"/>
    <col min="2573" max="2573" width="15.44140625" style="2" customWidth="1"/>
    <col min="2574" max="2574" width="23.109375" style="2" customWidth="1"/>
    <col min="2575" max="2575" width="15.88671875" style="2" customWidth="1"/>
    <col min="2576" max="2576" width="14.6640625" style="2" customWidth="1"/>
    <col min="2577" max="2577" width="26.5546875" style="2" customWidth="1"/>
    <col min="2578" max="2578" width="17.109375" style="2" customWidth="1"/>
    <col min="2579" max="2579" width="17.5546875" style="2" customWidth="1"/>
    <col min="2580" max="2580" width="16.44140625" style="2" customWidth="1"/>
    <col min="2581" max="2581" width="10" style="2" bestFit="1" customWidth="1"/>
    <col min="2582" max="2816" width="9.109375" style="2"/>
    <col min="2817" max="2817" width="14.33203125" style="2" customWidth="1"/>
    <col min="2818" max="2818" width="9" style="2" customWidth="1"/>
    <col min="2819" max="2819" width="11" style="2" customWidth="1"/>
    <col min="2820" max="2820" width="15.33203125" style="2" customWidth="1"/>
    <col min="2821" max="2821" width="10.77734375" style="2" customWidth="1"/>
    <col min="2822" max="2822" width="1.33203125" style="2" customWidth="1"/>
    <col min="2823" max="2823" width="5.109375" style="2" customWidth="1"/>
    <col min="2824" max="2824" width="13.33203125" style="2" customWidth="1"/>
    <col min="2825" max="2825" width="4.88671875" style="2" customWidth="1"/>
    <col min="2826" max="2826" width="9.109375" style="2"/>
    <col min="2827" max="2827" width="16.21875" style="2" customWidth="1"/>
    <col min="2828" max="2828" width="17.109375" style="2" customWidth="1"/>
    <col min="2829" max="2829" width="15.44140625" style="2" customWidth="1"/>
    <col min="2830" max="2830" width="23.109375" style="2" customWidth="1"/>
    <col min="2831" max="2831" width="15.88671875" style="2" customWidth="1"/>
    <col min="2832" max="2832" width="14.6640625" style="2" customWidth="1"/>
    <col min="2833" max="2833" width="26.5546875" style="2" customWidth="1"/>
    <col min="2834" max="2834" width="17.109375" style="2" customWidth="1"/>
    <col min="2835" max="2835" width="17.5546875" style="2" customWidth="1"/>
    <col min="2836" max="2836" width="16.44140625" style="2" customWidth="1"/>
    <col min="2837" max="2837" width="10" style="2" bestFit="1" customWidth="1"/>
    <col min="2838" max="3072" width="9.109375" style="2"/>
    <col min="3073" max="3073" width="14.33203125" style="2" customWidth="1"/>
    <col min="3074" max="3074" width="9" style="2" customWidth="1"/>
    <col min="3075" max="3075" width="11" style="2" customWidth="1"/>
    <col min="3076" max="3076" width="15.33203125" style="2" customWidth="1"/>
    <col min="3077" max="3077" width="10.77734375" style="2" customWidth="1"/>
    <col min="3078" max="3078" width="1.33203125" style="2" customWidth="1"/>
    <col min="3079" max="3079" width="5.109375" style="2" customWidth="1"/>
    <col min="3080" max="3080" width="13.33203125" style="2" customWidth="1"/>
    <col min="3081" max="3081" width="4.88671875" style="2" customWidth="1"/>
    <col min="3082" max="3082" width="9.109375" style="2"/>
    <col min="3083" max="3083" width="16.21875" style="2" customWidth="1"/>
    <col min="3084" max="3084" width="17.109375" style="2" customWidth="1"/>
    <col min="3085" max="3085" width="15.44140625" style="2" customWidth="1"/>
    <col min="3086" max="3086" width="23.109375" style="2" customWidth="1"/>
    <col min="3087" max="3087" width="15.88671875" style="2" customWidth="1"/>
    <col min="3088" max="3088" width="14.6640625" style="2" customWidth="1"/>
    <col min="3089" max="3089" width="26.5546875" style="2" customWidth="1"/>
    <col min="3090" max="3090" width="17.109375" style="2" customWidth="1"/>
    <col min="3091" max="3091" width="17.5546875" style="2" customWidth="1"/>
    <col min="3092" max="3092" width="16.44140625" style="2" customWidth="1"/>
    <col min="3093" max="3093" width="10" style="2" bestFit="1" customWidth="1"/>
    <col min="3094" max="3328" width="9.109375" style="2"/>
    <col min="3329" max="3329" width="14.33203125" style="2" customWidth="1"/>
    <col min="3330" max="3330" width="9" style="2" customWidth="1"/>
    <col min="3331" max="3331" width="11" style="2" customWidth="1"/>
    <col min="3332" max="3332" width="15.33203125" style="2" customWidth="1"/>
    <col min="3333" max="3333" width="10.77734375" style="2" customWidth="1"/>
    <col min="3334" max="3334" width="1.33203125" style="2" customWidth="1"/>
    <col min="3335" max="3335" width="5.109375" style="2" customWidth="1"/>
    <col min="3336" max="3336" width="13.33203125" style="2" customWidth="1"/>
    <col min="3337" max="3337" width="4.88671875" style="2" customWidth="1"/>
    <col min="3338" max="3338" width="9.109375" style="2"/>
    <col min="3339" max="3339" width="16.21875" style="2" customWidth="1"/>
    <col min="3340" max="3340" width="17.109375" style="2" customWidth="1"/>
    <col min="3341" max="3341" width="15.44140625" style="2" customWidth="1"/>
    <col min="3342" max="3342" width="23.109375" style="2" customWidth="1"/>
    <col min="3343" max="3343" width="15.88671875" style="2" customWidth="1"/>
    <col min="3344" max="3344" width="14.6640625" style="2" customWidth="1"/>
    <col min="3345" max="3345" width="26.5546875" style="2" customWidth="1"/>
    <col min="3346" max="3346" width="17.109375" style="2" customWidth="1"/>
    <col min="3347" max="3347" width="17.5546875" style="2" customWidth="1"/>
    <col min="3348" max="3348" width="16.44140625" style="2" customWidth="1"/>
    <col min="3349" max="3349" width="10" style="2" bestFit="1" customWidth="1"/>
    <col min="3350" max="3584" width="9.109375" style="2"/>
    <col min="3585" max="3585" width="14.33203125" style="2" customWidth="1"/>
    <col min="3586" max="3586" width="9" style="2" customWidth="1"/>
    <col min="3587" max="3587" width="11" style="2" customWidth="1"/>
    <col min="3588" max="3588" width="15.33203125" style="2" customWidth="1"/>
    <col min="3589" max="3589" width="10.77734375" style="2" customWidth="1"/>
    <col min="3590" max="3590" width="1.33203125" style="2" customWidth="1"/>
    <col min="3591" max="3591" width="5.109375" style="2" customWidth="1"/>
    <col min="3592" max="3592" width="13.33203125" style="2" customWidth="1"/>
    <col min="3593" max="3593" width="4.88671875" style="2" customWidth="1"/>
    <col min="3594" max="3594" width="9.109375" style="2"/>
    <col min="3595" max="3595" width="16.21875" style="2" customWidth="1"/>
    <col min="3596" max="3596" width="17.109375" style="2" customWidth="1"/>
    <col min="3597" max="3597" width="15.44140625" style="2" customWidth="1"/>
    <col min="3598" max="3598" width="23.109375" style="2" customWidth="1"/>
    <col min="3599" max="3599" width="15.88671875" style="2" customWidth="1"/>
    <col min="3600" max="3600" width="14.6640625" style="2" customWidth="1"/>
    <col min="3601" max="3601" width="26.5546875" style="2" customWidth="1"/>
    <col min="3602" max="3602" width="17.109375" style="2" customWidth="1"/>
    <col min="3603" max="3603" width="17.5546875" style="2" customWidth="1"/>
    <col min="3604" max="3604" width="16.44140625" style="2" customWidth="1"/>
    <col min="3605" max="3605" width="10" style="2" bestFit="1" customWidth="1"/>
    <col min="3606" max="3840" width="9.109375" style="2"/>
    <col min="3841" max="3841" width="14.33203125" style="2" customWidth="1"/>
    <col min="3842" max="3842" width="9" style="2" customWidth="1"/>
    <col min="3843" max="3843" width="11" style="2" customWidth="1"/>
    <col min="3844" max="3844" width="15.33203125" style="2" customWidth="1"/>
    <col min="3845" max="3845" width="10.77734375" style="2" customWidth="1"/>
    <col min="3846" max="3846" width="1.33203125" style="2" customWidth="1"/>
    <col min="3847" max="3847" width="5.109375" style="2" customWidth="1"/>
    <col min="3848" max="3848" width="13.33203125" style="2" customWidth="1"/>
    <col min="3849" max="3849" width="4.88671875" style="2" customWidth="1"/>
    <col min="3850" max="3850" width="9.109375" style="2"/>
    <col min="3851" max="3851" width="16.21875" style="2" customWidth="1"/>
    <col min="3852" max="3852" width="17.109375" style="2" customWidth="1"/>
    <col min="3853" max="3853" width="15.44140625" style="2" customWidth="1"/>
    <col min="3854" max="3854" width="23.109375" style="2" customWidth="1"/>
    <col min="3855" max="3855" width="15.88671875" style="2" customWidth="1"/>
    <col min="3856" max="3856" width="14.6640625" style="2" customWidth="1"/>
    <col min="3857" max="3857" width="26.5546875" style="2" customWidth="1"/>
    <col min="3858" max="3858" width="17.109375" style="2" customWidth="1"/>
    <col min="3859" max="3859" width="17.5546875" style="2" customWidth="1"/>
    <col min="3860" max="3860" width="16.44140625" style="2" customWidth="1"/>
    <col min="3861" max="3861" width="10" style="2" bestFit="1" customWidth="1"/>
    <col min="3862" max="4096" width="9.109375" style="2"/>
    <col min="4097" max="4097" width="14.33203125" style="2" customWidth="1"/>
    <col min="4098" max="4098" width="9" style="2" customWidth="1"/>
    <col min="4099" max="4099" width="11" style="2" customWidth="1"/>
    <col min="4100" max="4100" width="15.33203125" style="2" customWidth="1"/>
    <col min="4101" max="4101" width="10.77734375" style="2" customWidth="1"/>
    <col min="4102" max="4102" width="1.33203125" style="2" customWidth="1"/>
    <col min="4103" max="4103" width="5.109375" style="2" customWidth="1"/>
    <col min="4104" max="4104" width="13.33203125" style="2" customWidth="1"/>
    <col min="4105" max="4105" width="4.88671875" style="2" customWidth="1"/>
    <col min="4106" max="4106" width="9.109375" style="2"/>
    <col min="4107" max="4107" width="16.21875" style="2" customWidth="1"/>
    <col min="4108" max="4108" width="17.109375" style="2" customWidth="1"/>
    <col min="4109" max="4109" width="15.44140625" style="2" customWidth="1"/>
    <col min="4110" max="4110" width="23.109375" style="2" customWidth="1"/>
    <col min="4111" max="4111" width="15.88671875" style="2" customWidth="1"/>
    <col min="4112" max="4112" width="14.6640625" style="2" customWidth="1"/>
    <col min="4113" max="4113" width="26.5546875" style="2" customWidth="1"/>
    <col min="4114" max="4114" width="17.109375" style="2" customWidth="1"/>
    <col min="4115" max="4115" width="17.5546875" style="2" customWidth="1"/>
    <col min="4116" max="4116" width="16.44140625" style="2" customWidth="1"/>
    <col min="4117" max="4117" width="10" style="2" bestFit="1" customWidth="1"/>
    <col min="4118" max="4352" width="9.109375" style="2"/>
    <col min="4353" max="4353" width="14.33203125" style="2" customWidth="1"/>
    <col min="4354" max="4354" width="9" style="2" customWidth="1"/>
    <col min="4355" max="4355" width="11" style="2" customWidth="1"/>
    <col min="4356" max="4356" width="15.33203125" style="2" customWidth="1"/>
    <col min="4357" max="4357" width="10.77734375" style="2" customWidth="1"/>
    <col min="4358" max="4358" width="1.33203125" style="2" customWidth="1"/>
    <col min="4359" max="4359" width="5.109375" style="2" customWidth="1"/>
    <col min="4360" max="4360" width="13.33203125" style="2" customWidth="1"/>
    <col min="4361" max="4361" width="4.88671875" style="2" customWidth="1"/>
    <col min="4362" max="4362" width="9.109375" style="2"/>
    <col min="4363" max="4363" width="16.21875" style="2" customWidth="1"/>
    <col min="4364" max="4364" width="17.109375" style="2" customWidth="1"/>
    <col min="4365" max="4365" width="15.44140625" style="2" customWidth="1"/>
    <col min="4366" max="4366" width="23.109375" style="2" customWidth="1"/>
    <col min="4367" max="4367" width="15.88671875" style="2" customWidth="1"/>
    <col min="4368" max="4368" width="14.6640625" style="2" customWidth="1"/>
    <col min="4369" max="4369" width="26.5546875" style="2" customWidth="1"/>
    <col min="4370" max="4370" width="17.109375" style="2" customWidth="1"/>
    <col min="4371" max="4371" width="17.5546875" style="2" customWidth="1"/>
    <col min="4372" max="4372" width="16.44140625" style="2" customWidth="1"/>
    <col min="4373" max="4373" width="10" style="2" bestFit="1" customWidth="1"/>
    <col min="4374" max="4608" width="9.109375" style="2"/>
    <col min="4609" max="4609" width="14.33203125" style="2" customWidth="1"/>
    <col min="4610" max="4610" width="9" style="2" customWidth="1"/>
    <col min="4611" max="4611" width="11" style="2" customWidth="1"/>
    <col min="4612" max="4612" width="15.33203125" style="2" customWidth="1"/>
    <col min="4613" max="4613" width="10.77734375" style="2" customWidth="1"/>
    <col min="4614" max="4614" width="1.33203125" style="2" customWidth="1"/>
    <col min="4615" max="4615" width="5.109375" style="2" customWidth="1"/>
    <col min="4616" max="4616" width="13.33203125" style="2" customWidth="1"/>
    <col min="4617" max="4617" width="4.88671875" style="2" customWidth="1"/>
    <col min="4618" max="4618" width="9.109375" style="2"/>
    <col min="4619" max="4619" width="16.21875" style="2" customWidth="1"/>
    <col min="4620" max="4620" width="17.109375" style="2" customWidth="1"/>
    <col min="4621" max="4621" width="15.44140625" style="2" customWidth="1"/>
    <col min="4622" max="4622" width="23.109375" style="2" customWidth="1"/>
    <col min="4623" max="4623" width="15.88671875" style="2" customWidth="1"/>
    <col min="4624" max="4624" width="14.6640625" style="2" customWidth="1"/>
    <col min="4625" max="4625" width="26.5546875" style="2" customWidth="1"/>
    <col min="4626" max="4626" width="17.109375" style="2" customWidth="1"/>
    <col min="4627" max="4627" width="17.5546875" style="2" customWidth="1"/>
    <col min="4628" max="4628" width="16.44140625" style="2" customWidth="1"/>
    <col min="4629" max="4629" width="10" style="2" bestFit="1" customWidth="1"/>
    <col min="4630" max="4864" width="9.109375" style="2"/>
    <col min="4865" max="4865" width="14.33203125" style="2" customWidth="1"/>
    <col min="4866" max="4866" width="9" style="2" customWidth="1"/>
    <col min="4867" max="4867" width="11" style="2" customWidth="1"/>
    <col min="4868" max="4868" width="15.33203125" style="2" customWidth="1"/>
    <col min="4869" max="4869" width="10.77734375" style="2" customWidth="1"/>
    <col min="4870" max="4870" width="1.33203125" style="2" customWidth="1"/>
    <col min="4871" max="4871" width="5.109375" style="2" customWidth="1"/>
    <col min="4872" max="4872" width="13.33203125" style="2" customWidth="1"/>
    <col min="4873" max="4873" width="4.88671875" style="2" customWidth="1"/>
    <col min="4874" max="4874" width="9.109375" style="2"/>
    <col min="4875" max="4875" width="16.21875" style="2" customWidth="1"/>
    <col min="4876" max="4876" width="17.109375" style="2" customWidth="1"/>
    <col min="4877" max="4877" width="15.44140625" style="2" customWidth="1"/>
    <col min="4878" max="4878" width="23.109375" style="2" customWidth="1"/>
    <col min="4879" max="4879" width="15.88671875" style="2" customWidth="1"/>
    <col min="4880" max="4880" width="14.6640625" style="2" customWidth="1"/>
    <col min="4881" max="4881" width="26.5546875" style="2" customWidth="1"/>
    <col min="4882" max="4882" width="17.109375" style="2" customWidth="1"/>
    <col min="4883" max="4883" width="17.5546875" style="2" customWidth="1"/>
    <col min="4884" max="4884" width="16.44140625" style="2" customWidth="1"/>
    <col min="4885" max="4885" width="10" style="2" bestFit="1" customWidth="1"/>
    <col min="4886" max="5120" width="9.109375" style="2"/>
    <col min="5121" max="5121" width="14.33203125" style="2" customWidth="1"/>
    <col min="5122" max="5122" width="9" style="2" customWidth="1"/>
    <col min="5123" max="5123" width="11" style="2" customWidth="1"/>
    <col min="5124" max="5124" width="15.33203125" style="2" customWidth="1"/>
    <col min="5125" max="5125" width="10.77734375" style="2" customWidth="1"/>
    <col min="5126" max="5126" width="1.33203125" style="2" customWidth="1"/>
    <col min="5127" max="5127" width="5.109375" style="2" customWidth="1"/>
    <col min="5128" max="5128" width="13.33203125" style="2" customWidth="1"/>
    <col min="5129" max="5129" width="4.88671875" style="2" customWidth="1"/>
    <col min="5130" max="5130" width="9.109375" style="2"/>
    <col min="5131" max="5131" width="16.21875" style="2" customWidth="1"/>
    <col min="5132" max="5132" width="17.109375" style="2" customWidth="1"/>
    <col min="5133" max="5133" width="15.44140625" style="2" customWidth="1"/>
    <col min="5134" max="5134" width="23.109375" style="2" customWidth="1"/>
    <col min="5135" max="5135" width="15.88671875" style="2" customWidth="1"/>
    <col min="5136" max="5136" width="14.6640625" style="2" customWidth="1"/>
    <col min="5137" max="5137" width="26.5546875" style="2" customWidth="1"/>
    <col min="5138" max="5138" width="17.109375" style="2" customWidth="1"/>
    <col min="5139" max="5139" width="17.5546875" style="2" customWidth="1"/>
    <col min="5140" max="5140" width="16.44140625" style="2" customWidth="1"/>
    <col min="5141" max="5141" width="10" style="2" bestFit="1" customWidth="1"/>
    <col min="5142" max="5376" width="9.109375" style="2"/>
    <col min="5377" max="5377" width="14.33203125" style="2" customWidth="1"/>
    <col min="5378" max="5378" width="9" style="2" customWidth="1"/>
    <col min="5379" max="5379" width="11" style="2" customWidth="1"/>
    <col min="5380" max="5380" width="15.33203125" style="2" customWidth="1"/>
    <col min="5381" max="5381" width="10.77734375" style="2" customWidth="1"/>
    <col min="5382" max="5382" width="1.33203125" style="2" customWidth="1"/>
    <col min="5383" max="5383" width="5.109375" style="2" customWidth="1"/>
    <col min="5384" max="5384" width="13.33203125" style="2" customWidth="1"/>
    <col min="5385" max="5385" width="4.88671875" style="2" customWidth="1"/>
    <col min="5386" max="5386" width="9.109375" style="2"/>
    <col min="5387" max="5387" width="16.21875" style="2" customWidth="1"/>
    <col min="5388" max="5388" width="17.109375" style="2" customWidth="1"/>
    <col min="5389" max="5389" width="15.44140625" style="2" customWidth="1"/>
    <col min="5390" max="5390" width="23.109375" style="2" customWidth="1"/>
    <col min="5391" max="5391" width="15.88671875" style="2" customWidth="1"/>
    <col min="5392" max="5392" width="14.6640625" style="2" customWidth="1"/>
    <col min="5393" max="5393" width="26.5546875" style="2" customWidth="1"/>
    <col min="5394" max="5394" width="17.109375" style="2" customWidth="1"/>
    <col min="5395" max="5395" width="17.5546875" style="2" customWidth="1"/>
    <col min="5396" max="5396" width="16.44140625" style="2" customWidth="1"/>
    <col min="5397" max="5397" width="10" style="2" bestFit="1" customWidth="1"/>
    <col min="5398" max="5632" width="9.109375" style="2"/>
    <col min="5633" max="5633" width="14.33203125" style="2" customWidth="1"/>
    <col min="5634" max="5634" width="9" style="2" customWidth="1"/>
    <col min="5635" max="5635" width="11" style="2" customWidth="1"/>
    <col min="5636" max="5636" width="15.33203125" style="2" customWidth="1"/>
    <col min="5637" max="5637" width="10.77734375" style="2" customWidth="1"/>
    <col min="5638" max="5638" width="1.33203125" style="2" customWidth="1"/>
    <col min="5639" max="5639" width="5.109375" style="2" customWidth="1"/>
    <col min="5640" max="5640" width="13.33203125" style="2" customWidth="1"/>
    <col min="5641" max="5641" width="4.88671875" style="2" customWidth="1"/>
    <col min="5642" max="5642" width="9.109375" style="2"/>
    <col min="5643" max="5643" width="16.21875" style="2" customWidth="1"/>
    <col min="5644" max="5644" width="17.109375" style="2" customWidth="1"/>
    <col min="5645" max="5645" width="15.44140625" style="2" customWidth="1"/>
    <col min="5646" max="5646" width="23.109375" style="2" customWidth="1"/>
    <col min="5647" max="5647" width="15.88671875" style="2" customWidth="1"/>
    <col min="5648" max="5648" width="14.6640625" style="2" customWidth="1"/>
    <col min="5649" max="5649" width="26.5546875" style="2" customWidth="1"/>
    <col min="5650" max="5650" width="17.109375" style="2" customWidth="1"/>
    <col min="5651" max="5651" width="17.5546875" style="2" customWidth="1"/>
    <col min="5652" max="5652" width="16.44140625" style="2" customWidth="1"/>
    <col min="5653" max="5653" width="10" style="2" bestFit="1" customWidth="1"/>
    <col min="5654" max="5888" width="9.109375" style="2"/>
    <col min="5889" max="5889" width="14.33203125" style="2" customWidth="1"/>
    <col min="5890" max="5890" width="9" style="2" customWidth="1"/>
    <col min="5891" max="5891" width="11" style="2" customWidth="1"/>
    <col min="5892" max="5892" width="15.33203125" style="2" customWidth="1"/>
    <col min="5893" max="5893" width="10.77734375" style="2" customWidth="1"/>
    <col min="5894" max="5894" width="1.33203125" style="2" customWidth="1"/>
    <col min="5895" max="5895" width="5.109375" style="2" customWidth="1"/>
    <col min="5896" max="5896" width="13.33203125" style="2" customWidth="1"/>
    <col min="5897" max="5897" width="4.88671875" style="2" customWidth="1"/>
    <col min="5898" max="5898" width="9.109375" style="2"/>
    <col min="5899" max="5899" width="16.21875" style="2" customWidth="1"/>
    <col min="5900" max="5900" width="17.109375" style="2" customWidth="1"/>
    <col min="5901" max="5901" width="15.44140625" style="2" customWidth="1"/>
    <col min="5902" max="5902" width="23.109375" style="2" customWidth="1"/>
    <col min="5903" max="5903" width="15.88671875" style="2" customWidth="1"/>
    <col min="5904" max="5904" width="14.6640625" style="2" customWidth="1"/>
    <col min="5905" max="5905" width="26.5546875" style="2" customWidth="1"/>
    <col min="5906" max="5906" width="17.109375" style="2" customWidth="1"/>
    <col min="5907" max="5907" width="17.5546875" style="2" customWidth="1"/>
    <col min="5908" max="5908" width="16.44140625" style="2" customWidth="1"/>
    <col min="5909" max="5909" width="10" style="2" bestFit="1" customWidth="1"/>
    <col min="5910" max="6144" width="9.109375" style="2"/>
    <col min="6145" max="6145" width="14.33203125" style="2" customWidth="1"/>
    <col min="6146" max="6146" width="9" style="2" customWidth="1"/>
    <col min="6147" max="6147" width="11" style="2" customWidth="1"/>
    <col min="6148" max="6148" width="15.33203125" style="2" customWidth="1"/>
    <col min="6149" max="6149" width="10.77734375" style="2" customWidth="1"/>
    <col min="6150" max="6150" width="1.33203125" style="2" customWidth="1"/>
    <col min="6151" max="6151" width="5.109375" style="2" customWidth="1"/>
    <col min="6152" max="6152" width="13.33203125" style="2" customWidth="1"/>
    <col min="6153" max="6153" width="4.88671875" style="2" customWidth="1"/>
    <col min="6154" max="6154" width="9.109375" style="2"/>
    <col min="6155" max="6155" width="16.21875" style="2" customWidth="1"/>
    <col min="6156" max="6156" width="17.109375" style="2" customWidth="1"/>
    <col min="6157" max="6157" width="15.44140625" style="2" customWidth="1"/>
    <col min="6158" max="6158" width="23.109375" style="2" customWidth="1"/>
    <col min="6159" max="6159" width="15.88671875" style="2" customWidth="1"/>
    <col min="6160" max="6160" width="14.6640625" style="2" customWidth="1"/>
    <col min="6161" max="6161" width="26.5546875" style="2" customWidth="1"/>
    <col min="6162" max="6162" width="17.109375" style="2" customWidth="1"/>
    <col min="6163" max="6163" width="17.5546875" style="2" customWidth="1"/>
    <col min="6164" max="6164" width="16.44140625" style="2" customWidth="1"/>
    <col min="6165" max="6165" width="10" style="2" bestFit="1" customWidth="1"/>
    <col min="6166" max="6400" width="9.109375" style="2"/>
    <col min="6401" max="6401" width="14.33203125" style="2" customWidth="1"/>
    <col min="6402" max="6402" width="9" style="2" customWidth="1"/>
    <col min="6403" max="6403" width="11" style="2" customWidth="1"/>
    <col min="6404" max="6404" width="15.33203125" style="2" customWidth="1"/>
    <col min="6405" max="6405" width="10.77734375" style="2" customWidth="1"/>
    <col min="6406" max="6406" width="1.33203125" style="2" customWidth="1"/>
    <col min="6407" max="6407" width="5.109375" style="2" customWidth="1"/>
    <col min="6408" max="6408" width="13.33203125" style="2" customWidth="1"/>
    <col min="6409" max="6409" width="4.88671875" style="2" customWidth="1"/>
    <col min="6410" max="6410" width="9.109375" style="2"/>
    <col min="6411" max="6411" width="16.21875" style="2" customWidth="1"/>
    <col min="6412" max="6412" width="17.109375" style="2" customWidth="1"/>
    <col min="6413" max="6413" width="15.44140625" style="2" customWidth="1"/>
    <col min="6414" max="6414" width="23.109375" style="2" customWidth="1"/>
    <col min="6415" max="6415" width="15.88671875" style="2" customWidth="1"/>
    <col min="6416" max="6416" width="14.6640625" style="2" customWidth="1"/>
    <col min="6417" max="6417" width="26.5546875" style="2" customWidth="1"/>
    <col min="6418" max="6418" width="17.109375" style="2" customWidth="1"/>
    <col min="6419" max="6419" width="17.5546875" style="2" customWidth="1"/>
    <col min="6420" max="6420" width="16.44140625" style="2" customWidth="1"/>
    <col min="6421" max="6421" width="10" style="2" bestFit="1" customWidth="1"/>
    <col min="6422" max="6656" width="9.109375" style="2"/>
    <col min="6657" max="6657" width="14.33203125" style="2" customWidth="1"/>
    <col min="6658" max="6658" width="9" style="2" customWidth="1"/>
    <col min="6659" max="6659" width="11" style="2" customWidth="1"/>
    <col min="6660" max="6660" width="15.33203125" style="2" customWidth="1"/>
    <col min="6661" max="6661" width="10.77734375" style="2" customWidth="1"/>
    <col min="6662" max="6662" width="1.33203125" style="2" customWidth="1"/>
    <col min="6663" max="6663" width="5.109375" style="2" customWidth="1"/>
    <col min="6664" max="6664" width="13.33203125" style="2" customWidth="1"/>
    <col min="6665" max="6665" width="4.88671875" style="2" customWidth="1"/>
    <col min="6666" max="6666" width="9.109375" style="2"/>
    <col min="6667" max="6667" width="16.21875" style="2" customWidth="1"/>
    <col min="6668" max="6668" width="17.109375" style="2" customWidth="1"/>
    <col min="6669" max="6669" width="15.44140625" style="2" customWidth="1"/>
    <col min="6670" max="6670" width="23.109375" style="2" customWidth="1"/>
    <col min="6671" max="6671" width="15.88671875" style="2" customWidth="1"/>
    <col min="6672" max="6672" width="14.6640625" style="2" customWidth="1"/>
    <col min="6673" max="6673" width="26.5546875" style="2" customWidth="1"/>
    <col min="6674" max="6674" width="17.109375" style="2" customWidth="1"/>
    <col min="6675" max="6675" width="17.5546875" style="2" customWidth="1"/>
    <col min="6676" max="6676" width="16.44140625" style="2" customWidth="1"/>
    <col min="6677" max="6677" width="10" style="2" bestFit="1" customWidth="1"/>
    <col min="6678" max="6912" width="9.109375" style="2"/>
    <col min="6913" max="6913" width="14.33203125" style="2" customWidth="1"/>
    <col min="6914" max="6914" width="9" style="2" customWidth="1"/>
    <col min="6915" max="6915" width="11" style="2" customWidth="1"/>
    <col min="6916" max="6916" width="15.33203125" style="2" customWidth="1"/>
    <col min="6917" max="6917" width="10.77734375" style="2" customWidth="1"/>
    <col min="6918" max="6918" width="1.33203125" style="2" customWidth="1"/>
    <col min="6919" max="6919" width="5.109375" style="2" customWidth="1"/>
    <col min="6920" max="6920" width="13.33203125" style="2" customWidth="1"/>
    <col min="6921" max="6921" width="4.88671875" style="2" customWidth="1"/>
    <col min="6922" max="6922" width="9.109375" style="2"/>
    <col min="6923" max="6923" width="16.21875" style="2" customWidth="1"/>
    <col min="6924" max="6924" width="17.109375" style="2" customWidth="1"/>
    <col min="6925" max="6925" width="15.44140625" style="2" customWidth="1"/>
    <col min="6926" max="6926" width="23.109375" style="2" customWidth="1"/>
    <col min="6927" max="6927" width="15.88671875" style="2" customWidth="1"/>
    <col min="6928" max="6928" width="14.6640625" style="2" customWidth="1"/>
    <col min="6929" max="6929" width="26.5546875" style="2" customWidth="1"/>
    <col min="6930" max="6930" width="17.109375" style="2" customWidth="1"/>
    <col min="6931" max="6931" width="17.5546875" style="2" customWidth="1"/>
    <col min="6932" max="6932" width="16.44140625" style="2" customWidth="1"/>
    <col min="6933" max="6933" width="10" style="2" bestFit="1" customWidth="1"/>
    <col min="6934" max="7168" width="9.109375" style="2"/>
    <col min="7169" max="7169" width="14.33203125" style="2" customWidth="1"/>
    <col min="7170" max="7170" width="9" style="2" customWidth="1"/>
    <col min="7171" max="7171" width="11" style="2" customWidth="1"/>
    <col min="7172" max="7172" width="15.33203125" style="2" customWidth="1"/>
    <col min="7173" max="7173" width="10.77734375" style="2" customWidth="1"/>
    <col min="7174" max="7174" width="1.33203125" style="2" customWidth="1"/>
    <col min="7175" max="7175" width="5.109375" style="2" customWidth="1"/>
    <col min="7176" max="7176" width="13.33203125" style="2" customWidth="1"/>
    <col min="7177" max="7177" width="4.88671875" style="2" customWidth="1"/>
    <col min="7178" max="7178" width="9.109375" style="2"/>
    <col min="7179" max="7179" width="16.21875" style="2" customWidth="1"/>
    <col min="7180" max="7180" width="17.109375" style="2" customWidth="1"/>
    <col min="7181" max="7181" width="15.44140625" style="2" customWidth="1"/>
    <col min="7182" max="7182" width="23.109375" style="2" customWidth="1"/>
    <col min="7183" max="7183" width="15.88671875" style="2" customWidth="1"/>
    <col min="7184" max="7184" width="14.6640625" style="2" customWidth="1"/>
    <col min="7185" max="7185" width="26.5546875" style="2" customWidth="1"/>
    <col min="7186" max="7186" width="17.109375" style="2" customWidth="1"/>
    <col min="7187" max="7187" width="17.5546875" style="2" customWidth="1"/>
    <col min="7188" max="7188" width="16.44140625" style="2" customWidth="1"/>
    <col min="7189" max="7189" width="10" style="2" bestFit="1" customWidth="1"/>
    <col min="7190" max="7424" width="9.109375" style="2"/>
    <col min="7425" max="7425" width="14.33203125" style="2" customWidth="1"/>
    <col min="7426" max="7426" width="9" style="2" customWidth="1"/>
    <col min="7427" max="7427" width="11" style="2" customWidth="1"/>
    <col min="7428" max="7428" width="15.33203125" style="2" customWidth="1"/>
    <col min="7429" max="7429" width="10.77734375" style="2" customWidth="1"/>
    <col min="7430" max="7430" width="1.33203125" style="2" customWidth="1"/>
    <col min="7431" max="7431" width="5.109375" style="2" customWidth="1"/>
    <col min="7432" max="7432" width="13.33203125" style="2" customWidth="1"/>
    <col min="7433" max="7433" width="4.88671875" style="2" customWidth="1"/>
    <col min="7434" max="7434" width="9.109375" style="2"/>
    <col min="7435" max="7435" width="16.21875" style="2" customWidth="1"/>
    <col min="7436" max="7436" width="17.109375" style="2" customWidth="1"/>
    <col min="7437" max="7437" width="15.44140625" style="2" customWidth="1"/>
    <col min="7438" max="7438" width="23.109375" style="2" customWidth="1"/>
    <col min="7439" max="7439" width="15.88671875" style="2" customWidth="1"/>
    <col min="7440" max="7440" width="14.6640625" style="2" customWidth="1"/>
    <col min="7441" max="7441" width="26.5546875" style="2" customWidth="1"/>
    <col min="7442" max="7442" width="17.109375" style="2" customWidth="1"/>
    <col min="7443" max="7443" width="17.5546875" style="2" customWidth="1"/>
    <col min="7444" max="7444" width="16.44140625" style="2" customWidth="1"/>
    <col min="7445" max="7445" width="10" style="2" bestFit="1" customWidth="1"/>
    <col min="7446" max="7680" width="9.109375" style="2"/>
    <col min="7681" max="7681" width="14.33203125" style="2" customWidth="1"/>
    <col min="7682" max="7682" width="9" style="2" customWidth="1"/>
    <col min="7683" max="7683" width="11" style="2" customWidth="1"/>
    <col min="7684" max="7684" width="15.33203125" style="2" customWidth="1"/>
    <col min="7685" max="7685" width="10.77734375" style="2" customWidth="1"/>
    <col min="7686" max="7686" width="1.33203125" style="2" customWidth="1"/>
    <col min="7687" max="7687" width="5.109375" style="2" customWidth="1"/>
    <col min="7688" max="7688" width="13.33203125" style="2" customWidth="1"/>
    <col min="7689" max="7689" width="4.88671875" style="2" customWidth="1"/>
    <col min="7690" max="7690" width="9.109375" style="2"/>
    <col min="7691" max="7691" width="16.21875" style="2" customWidth="1"/>
    <col min="7692" max="7692" width="17.109375" style="2" customWidth="1"/>
    <col min="7693" max="7693" width="15.44140625" style="2" customWidth="1"/>
    <col min="7694" max="7694" width="23.109375" style="2" customWidth="1"/>
    <col min="7695" max="7695" width="15.88671875" style="2" customWidth="1"/>
    <col min="7696" max="7696" width="14.6640625" style="2" customWidth="1"/>
    <col min="7697" max="7697" width="26.5546875" style="2" customWidth="1"/>
    <col min="7698" max="7698" width="17.109375" style="2" customWidth="1"/>
    <col min="7699" max="7699" width="17.5546875" style="2" customWidth="1"/>
    <col min="7700" max="7700" width="16.44140625" style="2" customWidth="1"/>
    <col min="7701" max="7701" width="10" style="2" bestFit="1" customWidth="1"/>
    <col min="7702" max="7936" width="9.109375" style="2"/>
    <col min="7937" max="7937" width="14.33203125" style="2" customWidth="1"/>
    <col min="7938" max="7938" width="9" style="2" customWidth="1"/>
    <col min="7939" max="7939" width="11" style="2" customWidth="1"/>
    <col min="7940" max="7940" width="15.33203125" style="2" customWidth="1"/>
    <col min="7941" max="7941" width="10.77734375" style="2" customWidth="1"/>
    <col min="7942" max="7942" width="1.33203125" style="2" customWidth="1"/>
    <col min="7943" max="7943" width="5.109375" style="2" customWidth="1"/>
    <col min="7944" max="7944" width="13.33203125" style="2" customWidth="1"/>
    <col min="7945" max="7945" width="4.88671875" style="2" customWidth="1"/>
    <col min="7946" max="7946" width="9.109375" style="2"/>
    <col min="7947" max="7947" width="16.21875" style="2" customWidth="1"/>
    <col min="7948" max="7948" width="17.109375" style="2" customWidth="1"/>
    <col min="7949" max="7949" width="15.44140625" style="2" customWidth="1"/>
    <col min="7950" max="7950" width="23.109375" style="2" customWidth="1"/>
    <col min="7951" max="7951" width="15.88671875" style="2" customWidth="1"/>
    <col min="7952" max="7952" width="14.6640625" style="2" customWidth="1"/>
    <col min="7953" max="7953" width="26.5546875" style="2" customWidth="1"/>
    <col min="7954" max="7954" width="17.109375" style="2" customWidth="1"/>
    <col min="7955" max="7955" width="17.5546875" style="2" customWidth="1"/>
    <col min="7956" max="7956" width="16.44140625" style="2" customWidth="1"/>
    <col min="7957" max="7957" width="10" style="2" bestFit="1" customWidth="1"/>
    <col min="7958" max="8192" width="9.109375" style="2"/>
    <col min="8193" max="8193" width="14.33203125" style="2" customWidth="1"/>
    <col min="8194" max="8194" width="9" style="2" customWidth="1"/>
    <col min="8195" max="8195" width="11" style="2" customWidth="1"/>
    <col min="8196" max="8196" width="15.33203125" style="2" customWidth="1"/>
    <col min="8197" max="8197" width="10.77734375" style="2" customWidth="1"/>
    <col min="8198" max="8198" width="1.33203125" style="2" customWidth="1"/>
    <col min="8199" max="8199" width="5.109375" style="2" customWidth="1"/>
    <col min="8200" max="8200" width="13.33203125" style="2" customWidth="1"/>
    <col min="8201" max="8201" width="4.88671875" style="2" customWidth="1"/>
    <col min="8202" max="8202" width="9.109375" style="2"/>
    <col min="8203" max="8203" width="16.21875" style="2" customWidth="1"/>
    <col min="8204" max="8204" width="17.109375" style="2" customWidth="1"/>
    <col min="8205" max="8205" width="15.44140625" style="2" customWidth="1"/>
    <col min="8206" max="8206" width="23.109375" style="2" customWidth="1"/>
    <col min="8207" max="8207" width="15.88671875" style="2" customWidth="1"/>
    <col min="8208" max="8208" width="14.6640625" style="2" customWidth="1"/>
    <col min="8209" max="8209" width="26.5546875" style="2" customWidth="1"/>
    <col min="8210" max="8210" width="17.109375" style="2" customWidth="1"/>
    <col min="8211" max="8211" width="17.5546875" style="2" customWidth="1"/>
    <col min="8212" max="8212" width="16.44140625" style="2" customWidth="1"/>
    <col min="8213" max="8213" width="10" style="2" bestFit="1" customWidth="1"/>
    <col min="8214" max="8448" width="9.109375" style="2"/>
    <col min="8449" max="8449" width="14.33203125" style="2" customWidth="1"/>
    <col min="8450" max="8450" width="9" style="2" customWidth="1"/>
    <col min="8451" max="8451" width="11" style="2" customWidth="1"/>
    <col min="8452" max="8452" width="15.33203125" style="2" customWidth="1"/>
    <col min="8453" max="8453" width="10.77734375" style="2" customWidth="1"/>
    <col min="8454" max="8454" width="1.33203125" style="2" customWidth="1"/>
    <col min="8455" max="8455" width="5.109375" style="2" customWidth="1"/>
    <col min="8456" max="8456" width="13.33203125" style="2" customWidth="1"/>
    <col min="8457" max="8457" width="4.88671875" style="2" customWidth="1"/>
    <col min="8458" max="8458" width="9.109375" style="2"/>
    <col min="8459" max="8459" width="16.21875" style="2" customWidth="1"/>
    <col min="8460" max="8460" width="17.109375" style="2" customWidth="1"/>
    <col min="8461" max="8461" width="15.44140625" style="2" customWidth="1"/>
    <col min="8462" max="8462" width="23.109375" style="2" customWidth="1"/>
    <col min="8463" max="8463" width="15.88671875" style="2" customWidth="1"/>
    <col min="8464" max="8464" width="14.6640625" style="2" customWidth="1"/>
    <col min="8465" max="8465" width="26.5546875" style="2" customWidth="1"/>
    <col min="8466" max="8466" width="17.109375" style="2" customWidth="1"/>
    <col min="8467" max="8467" width="17.5546875" style="2" customWidth="1"/>
    <col min="8468" max="8468" width="16.44140625" style="2" customWidth="1"/>
    <col min="8469" max="8469" width="10" style="2" bestFit="1" customWidth="1"/>
    <col min="8470" max="8704" width="9.109375" style="2"/>
    <col min="8705" max="8705" width="14.33203125" style="2" customWidth="1"/>
    <col min="8706" max="8706" width="9" style="2" customWidth="1"/>
    <col min="8707" max="8707" width="11" style="2" customWidth="1"/>
    <col min="8708" max="8708" width="15.33203125" style="2" customWidth="1"/>
    <col min="8709" max="8709" width="10.77734375" style="2" customWidth="1"/>
    <col min="8710" max="8710" width="1.33203125" style="2" customWidth="1"/>
    <col min="8711" max="8711" width="5.109375" style="2" customWidth="1"/>
    <col min="8712" max="8712" width="13.33203125" style="2" customWidth="1"/>
    <col min="8713" max="8713" width="4.88671875" style="2" customWidth="1"/>
    <col min="8714" max="8714" width="9.109375" style="2"/>
    <col min="8715" max="8715" width="16.21875" style="2" customWidth="1"/>
    <col min="8716" max="8716" width="17.109375" style="2" customWidth="1"/>
    <col min="8717" max="8717" width="15.44140625" style="2" customWidth="1"/>
    <col min="8718" max="8718" width="23.109375" style="2" customWidth="1"/>
    <col min="8719" max="8719" width="15.88671875" style="2" customWidth="1"/>
    <col min="8720" max="8720" width="14.6640625" style="2" customWidth="1"/>
    <col min="8721" max="8721" width="26.5546875" style="2" customWidth="1"/>
    <col min="8722" max="8722" width="17.109375" style="2" customWidth="1"/>
    <col min="8723" max="8723" width="17.5546875" style="2" customWidth="1"/>
    <col min="8724" max="8724" width="16.44140625" style="2" customWidth="1"/>
    <col min="8725" max="8725" width="10" style="2" bestFit="1" customWidth="1"/>
    <col min="8726" max="8960" width="9.109375" style="2"/>
    <col min="8961" max="8961" width="14.33203125" style="2" customWidth="1"/>
    <col min="8962" max="8962" width="9" style="2" customWidth="1"/>
    <col min="8963" max="8963" width="11" style="2" customWidth="1"/>
    <col min="8964" max="8964" width="15.33203125" style="2" customWidth="1"/>
    <col min="8965" max="8965" width="10.77734375" style="2" customWidth="1"/>
    <col min="8966" max="8966" width="1.33203125" style="2" customWidth="1"/>
    <col min="8967" max="8967" width="5.109375" style="2" customWidth="1"/>
    <col min="8968" max="8968" width="13.33203125" style="2" customWidth="1"/>
    <col min="8969" max="8969" width="4.88671875" style="2" customWidth="1"/>
    <col min="8970" max="8970" width="9.109375" style="2"/>
    <col min="8971" max="8971" width="16.21875" style="2" customWidth="1"/>
    <col min="8972" max="8972" width="17.109375" style="2" customWidth="1"/>
    <col min="8973" max="8973" width="15.44140625" style="2" customWidth="1"/>
    <col min="8974" max="8974" width="23.109375" style="2" customWidth="1"/>
    <col min="8975" max="8975" width="15.88671875" style="2" customWidth="1"/>
    <col min="8976" max="8976" width="14.6640625" style="2" customWidth="1"/>
    <col min="8977" max="8977" width="26.5546875" style="2" customWidth="1"/>
    <col min="8978" max="8978" width="17.109375" style="2" customWidth="1"/>
    <col min="8979" max="8979" width="17.5546875" style="2" customWidth="1"/>
    <col min="8980" max="8980" width="16.44140625" style="2" customWidth="1"/>
    <col min="8981" max="8981" width="10" style="2" bestFit="1" customWidth="1"/>
    <col min="8982" max="9216" width="9.109375" style="2"/>
    <col min="9217" max="9217" width="14.33203125" style="2" customWidth="1"/>
    <col min="9218" max="9218" width="9" style="2" customWidth="1"/>
    <col min="9219" max="9219" width="11" style="2" customWidth="1"/>
    <col min="9220" max="9220" width="15.33203125" style="2" customWidth="1"/>
    <col min="9221" max="9221" width="10.77734375" style="2" customWidth="1"/>
    <col min="9222" max="9222" width="1.33203125" style="2" customWidth="1"/>
    <col min="9223" max="9223" width="5.109375" style="2" customWidth="1"/>
    <col min="9224" max="9224" width="13.33203125" style="2" customWidth="1"/>
    <col min="9225" max="9225" width="4.88671875" style="2" customWidth="1"/>
    <col min="9226" max="9226" width="9.109375" style="2"/>
    <col min="9227" max="9227" width="16.21875" style="2" customWidth="1"/>
    <col min="9228" max="9228" width="17.109375" style="2" customWidth="1"/>
    <col min="9229" max="9229" width="15.44140625" style="2" customWidth="1"/>
    <col min="9230" max="9230" width="23.109375" style="2" customWidth="1"/>
    <col min="9231" max="9231" width="15.88671875" style="2" customWidth="1"/>
    <col min="9232" max="9232" width="14.6640625" style="2" customWidth="1"/>
    <col min="9233" max="9233" width="26.5546875" style="2" customWidth="1"/>
    <col min="9234" max="9234" width="17.109375" style="2" customWidth="1"/>
    <col min="9235" max="9235" width="17.5546875" style="2" customWidth="1"/>
    <col min="9236" max="9236" width="16.44140625" style="2" customWidth="1"/>
    <col min="9237" max="9237" width="10" style="2" bestFit="1" customWidth="1"/>
    <col min="9238" max="9472" width="9.109375" style="2"/>
    <col min="9473" max="9473" width="14.33203125" style="2" customWidth="1"/>
    <col min="9474" max="9474" width="9" style="2" customWidth="1"/>
    <col min="9475" max="9475" width="11" style="2" customWidth="1"/>
    <col min="9476" max="9476" width="15.33203125" style="2" customWidth="1"/>
    <col min="9477" max="9477" width="10.77734375" style="2" customWidth="1"/>
    <col min="9478" max="9478" width="1.33203125" style="2" customWidth="1"/>
    <col min="9479" max="9479" width="5.109375" style="2" customWidth="1"/>
    <col min="9480" max="9480" width="13.33203125" style="2" customWidth="1"/>
    <col min="9481" max="9481" width="4.88671875" style="2" customWidth="1"/>
    <col min="9482" max="9482" width="9.109375" style="2"/>
    <col min="9483" max="9483" width="16.21875" style="2" customWidth="1"/>
    <col min="9484" max="9484" width="17.109375" style="2" customWidth="1"/>
    <col min="9485" max="9485" width="15.44140625" style="2" customWidth="1"/>
    <col min="9486" max="9486" width="23.109375" style="2" customWidth="1"/>
    <col min="9487" max="9487" width="15.88671875" style="2" customWidth="1"/>
    <col min="9488" max="9488" width="14.6640625" style="2" customWidth="1"/>
    <col min="9489" max="9489" width="26.5546875" style="2" customWidth="1"/>
    <col min="9490" max="9490" width="17.109375" style="2" customWidth="1"/>
    <col min="9491" max="9491" width="17.5546875" style="2" customWidth="1"/>
    <col min="9492" max="9492" width="16.44140625" style="2" customWidth="1"/>
    <col min="9493" max="9493" width="10" style="2" bestFit="1" customWidth="1"/>
    <col min="9494" max="9728" width="9.109375" style="2"/>
    <col min="9729" max="9729" width="14.33203125" style="2" customWidth="1"/>
    <col min="9730" max="9730" width="9" style="2" customWidth="1"/>
    <col min="9731" max="9731" width="11" style="2" customWidth="1"/>
    <col min="9732" max="9732" width="15.33203125" style="2" customWidth="1"/>
    <col min="9733" max="9733" width="10.77734375" style="2" customWidth="1"/>
    <col min="9734" max="9734" width="1.33203125" style="2" customWidth="1"/>
    <col min="9735" max="9735" width="5.109375" style="2" customWidth="1"/>
    <col min="9736" max="9736" width="13.33203125" style="2" customWidth="1"/>
    <col min="9737" max="9737" width="4.88671875" style="2" customWidth="1"/>
    <col min="9738" max="9738" width="9.109375" style="2"/>
    <col min="9739" max="9739" width="16.21875" style="2" customWidth="1"/>
    <col min="9740" max="9740" width="17.109375" style="2" customWidth="1"/>
    <col min="9741" max="9741" width="15.44140625" style="2" customWidth="1"/>
    <col min="9742" max="9742" width="23.109375" style="2" customWidth="1"/>
    <col min="9743" max="9743" width="15.88671875" style="2" customWidth="1"/>
    <col min="9744" max="9744" width="14.6640625" style="2" customWidth="1"/>
    <col min="9745" max="9745" width="26.5546875" style="2" customWidth="1"/>
    <col min="9746" max="9746" width="17.109375" style="2" customWidth="1"/>
    <col min="9747" max="9747" width="17.5546875" style="2" customWidth="1"/>
    <col min="9748" max="9748" width="16.44140625" style="2" customWidth="1"/>
    <col min="9749" max="9749" width="10" style="2" bestFit="1" customWidth="1"/>
    <col min="9750" max="9984" width="9.109375" style="2"/>
    <col min="9985" max="9985" width="14.33203125" style="2" customWidth="1"/>
    <col min="9986" max="9986" width="9" style="2" customWidth="1"/>
    <col min="9987" max="9987" width="11" style="2" customWidth="1"/>
    <col min="9988" max="9988" width="15.33203125" style="2" customWidth="1"/>
    <col min="9989" max="9989" width="10.77734375" style="2" customWidth="1"/>
    <col min="9990" max="9990" width="1.33203125" style="2" customWidth="1"/>
    <col min="9991" max="9991" width="5.109375" style="2" customWidth="1"/>
    <col min="9992" max="9992" width="13.33203125" style="2" customWidth="1"/>
    <col min="9993" max="9993" width="4.88671875" style="2" customWidth="1"/>
    <col min="9994" max="9994" width="9.109375" style="2"/>
    <col min="9995" max="9995" width="16.21875" style="2" customWidth="1"/>
    <col min="9996" max="9996" width="17.109375" style="2" customWidth="1"/>
    <col min="9997" max="9997" width="15.44140625" style="2" customWidth="1"/>
    <col min="9998" max="9998" width="23.109375" style="2" customWidth="1"/>
    <col min="9999" max="9999" width="15.88671875" style="2" customWidth="1"/>
    <col min="10000" max="10000" width="14.6640625" style="2" customWidth="1"/>
    <col min="10001" max="10001" width="26.5546875" style="2" customWidth="1"/>
    <col min="10002" max="10002" width="17.109375" style="2" customWidth="1"/>
    <col min="10003" max="10003" width="17.5546875" style="2" customWidth="1"/>
    <col min="10004" max="10004" width="16.44140625" style="2" customWidth="1"/>
    <col min="10005" max="10005" width="10" style="2" bestFit="1" customWidth="1"/>
    <col min="10006" max="10240" width="9.109375" style="2"/>
    <col min="10241" max="10241" width="14.33203125" style="2" customWidth="1"/>
    <col min="10242" max="10242" width="9" style="2" customWidth="1"/>
    <col min="10243" max="10243" width="11" style="2" customWidth="1"/>
    <col min="10244" max="10244" width="15.33203125" style="2" customWidth="1"/>
    <col min="10245" max="10245" width="10.77734375" style="2" customWidth="1"/>
    <col min="10246" max="10246" width="1.33203125" style="2" customWidth="1"/>
    <col min="10247" max="10247" width="5.109375" style="2" customWidth="1"/>
    <col min="10248" max="10248" width="13.33203125" style="2" customWidth="1"/>
    <col min="10249" max="10249" width="4.88671875" style="2" customWidth="1"/>
    <col min="10250" max="10250" width="9.109375" style="2"/>
    <col min="10251" max="10251" width="16.21875" style="2" customWidth="1"/>
    <col min="10252" max="10252" width="17.109375" style="2" customWidth="1"/>
    <col min="10253" max="10253" width="15.44140625" style="2" customWidth="1"/>
    <col min="10254" max="10254" width="23.109375" style="2" customWidth="1"/>
    <col min="10255" max="10255" width="15.88671875" style="2" customWidth="1"/>
    <col min="10256" max="10256" width="14.6640625" style="2" customWidth="1"/>
    <col min="10257" max="10257" width="26.5546875" style="2" customWidth="1"/>
    <col min="10258" max="10258" width="17.109375" style="2" customWidth="1"/>
    <col min="10259" max="10259" width="17.5546875" style="2" customWidth="1"/>
    <col min="10260" max="10260" width="16.44140625" style="2" customWidth="1"/>
    <col min="10261" max="10261" width="10" style="2" bestFit="1" customWidth="1"/>
    <col min="10262" max="10496" width="9.109375" style="2"/>
    <col min="10497" max="10497" width="14.33203125" style="2" customWidth="1"/>
    <col min="10498" max="10498" width="9" style="2" customWidth="1"/>
    <col min="10499" max="10499" width="11" style="2" customWidth="1"/>
    <col min="10500" max="10500" width="15.33203125" style="2" customWidth="1"/>
    <col min="10501" max="10501" width="10.77734375" style="2" customWidth="1"/>
    <col min="10502" max="10502" width="1.33203125" style="2" customWidth="1"/>
    <col min="10503" max="10503" width="5.109375" style="2" customWidth="1"/>
    <col min="10504" max="10504" width="13.33203125" style="2" customWidth="1"/>
    <col min="10505" max="10505" width="4.88671875" style="2" customWidth="1"/>
    <col min="10506" max="10506" width="9.109375" style="2"/>
    <col min="10507" max="10507" width="16.21875" style="2" customWidth="1"/>
    <col min="10508" max="10508" width="17.109375" style="2" customWidth="1"/>
    <col min="10509" max="10509" width="15.44140625" style="2" customWidth="1"/>
    <col min="10510" max="10510" width="23.109375" style="2" customWidth="1"/>
    <col min="10511" max="10511" width="15.88671875" style="2" customWidth="1"/>
    <col min="10512" max="10512" width="14.6640625" style="2" customWidth="1"/>
    <col min="10513" max="10513" width="26.5546875" style="2" customWidth="1"/>
    <col min="10514" max="10514" width="17.109375" style="2" customWidth="1"/>
    <col min="10515" max="10515" width="17.5546875" style="2" customWidth="1"/>
    <col min="10516" max="10516" width="16.44140625" style="2" customWidth="1"/>
    <col min="10517" max="10517" width="10" style="2" bestFit="1" customWidth="1"/>
    <col min="10518" max="10752" width="9.109375" style="2"/>
    <col min="10753" max="10753" width="14.33203125" style="2" customWidth="1"/>
    <col min="10754" max="10754" width="9" style="2" customWidth="1"/>
    <col min="10755" max="10755" width="11" style="2" customWidth="1"/>
    <col min="10756" max="10756" width="15.33203125" style="2" customWidth="1"/>
    <col min="10757" max="10757" width="10.77734375" style="2" customWidth="1"/>
    <col min="10758" max="10758" width="1.33203125" style="2" customWidth="1"/>
    <col min="10759" max="10759" width="5.109375" style="2" customWidth="1"/>
    <col min="10760" max="10760" width="13.33203125" style="2" customWidth="1"/>
    <col min="10761" max="10761" width="4.88671875" style="2" customWidth="1"/>
    <col min="10762" max="10762" width="9.109375" style="2"/>
    <col min="10763" max="10763" width="16.21875" style="2" customWidth="1"/>
    <col min="10764" max="10764" width="17.109375" style="2" customWidth="1"/>
    <col min="10765" max="10765" width="15.44140625" style="2" customWidth="1"/>
    <col min="10766" max="10766" width="23.109375" style="2" customWidth="1"/>
    <col min="10767" max="10767" width="15.88671875" style="2" customWidth="1"/>
    <col min="10768" max="10768" width="14.6640625" style="2" customWidth="1"/>
    <col min="10769" max="10769" width="26.5546875" style="2" customWidth="1"/>
    <col min="10770" max="10770" width="17.109375" style="2" customWidth="1"/>
    <col min="10771" max="10771" width="17.5546875" style="2" customWidth="1"/>
    <col min="10772" max="10772" width="16.44140625" style="2" customWidth="1"/>
    <col min="10773" max="10773" width="10" style="2" bestFit="1" customWidth="1"/>
    <col min="10774" max="11008" width="9.109375" style="2"/>
    <col min="11009" max="11009" width="14.33203125" style="2" customWidth="1"/>
    <col min="11010" max="11010" width="9" style="2" customWidth="1"/>
    <col min="11011" max="11011" width="11" style="2" customWidth="1"/>
    <col min="11012" max="11012" width="15.33203125" style="2" customWidth="1"/>
    <col min="11013" max="11013" width="10.77734375" style="2" customWidth="1"/>
    <col min="11014" max="11014" width="1.33203125" style="2" customWidth="1"/>
    <col min="11015" max="11015" width="5.109375" style="2" customWidth="1"/>
    <col min="11016" max="11016" width="13.33203125" style="2" customWidth="1"/>
    <col min="11017" max="11017" width="4.88671875" style="2" customWidth="1"/>
    <col min="11018" max="11018" width="9.109375" style="2"/>
    <col min="11019" max="11019" width="16.21875" style="2" customWidth="1"/>
    <col min="11020" max="11020" width="17.109375" style="2" customWidth="1"/>
    <col min="11021" max="11021" width="15.44140625" style="2" customWidth="1"/>
    <col min="11022" max="11022" width="23.109375" style="2" customWidth="1"/>
    <col min="11023" max="11023" width="15.88671875" style="2" customWidth="1"/>
    <col min="11024" max="11024" width="14.6640625" style="2" customWidth="1"/>
    <col min="11025" max="11025" width="26.5546875" style="2" customWidth="1"/>
    <col min="11026" max="11026" width="17.109375" style="2" customWidth="1"/>
    <col min="11027" max="11027" width="17.5546875" style="2" customWidth="1"/>
    <col min="11028" max="11028" width="16.44140625" style="2" customWidth="1"/>
    <col min="11029" max="11029" width="10" style="2" bestFit="1" customWidth="1"/>
    <col min="11030" max="11264" width="9.109375" style="2"/>
    <col min="11265" max="11265" width="14.33203125" style="2" customWidth="1"/>
    <col min="11266" max="11266" width="9" style="2" customWidth="1"/>
    <col min="11267" max="11267" width="11" style="2" customWidth="1"/>
    <col min="11268" max="11268" width="15.33203125" style="2" customWidth="1"/>
    <col min="11269" max="11269" width="10.77734375" style="2" customWidth="1"/>
    <col min="11270" max="11270" width="1.33203125" style="2" customWidth="1"/>
    <col min="11271" max="11271" width="5.109375" style="2" customWidth="1"/>
    <col min="11272" max="11272" width="13.33203125" style="2" customWidth="1"/>
    <col min="11273" max="11273" width="4.88671875" style="2" customWidth="1"/>
    <col min="11274" max="11274" width="9.109375" style="2"/>
    <col min="11275" max="11275" width="16.21875" style="2" customWidth="1"/>
    <col min="11276" max="11276" width="17.109375" style="2" customWidth="1"/>
    <col min="11277" max="11277" width="15.44140625" style="2" customWidth="1"/>
    <col min="11278" max="11278" width="23.109375" style="2" customWidth="1"/>
    <col min="11279" max="11279" width="15.88671875" style="2" customWidth="1"/>
    <col min="11280" max="11280" width="14.6640625" style="2" customWidth="1"/>
    <col min="11281" max="11281" width="26.5546875" style="2" customWidth="1"/>
    <col min="11282" max="11282" width="17.109375" style="2" customWidth="1"/>
    <col min="11283" max="11283" width="17.5546875" style="2" customWidth="1"/>
    <col min="11284" max="11284" width="16.44140625" style="2" customWidth="1"/>
    <col min="11285" max="11285" width="10" style="2" bestFit="1" customWidth="1"/>
    <col min="11286" max="11520" width="9.109375" style="2"/>
    <col min="11521" max="11521" width="14.33203125" style="2" customWidth="1"/>
    <col min="11522" max="11522" width="9" style="2" customWidth="1"/>
    <col min="11523" max="11523" width="11" style="2" customWidth="1"/>
    <col min="11524" max="11524" width="15.33203125" style="2" customWidth="1"/>
    <col min="11525" max="11525" width="10.77734375" style="2" customWidth="1"/>
    <col min="11526" max="11526" width="1.33203125" style="2" customWidth="1"/>
    <col min="11527" max="11527" width="5.109375" style="2" customWidth="1"/>
    <col min="11528" max="11528" width="13.33203125" style="2" customWidth="1"/>
    <col min="11529" max="11529" width="4.88671875" style="2" customWidth="1"/>
    <col min="11530" max="11530" width="9.109375" style="2"/>
    <col min="11531" max="11531" width="16.21875" style="2" customWidth="1"/>
    <col min="11532" max="11532" width="17.109375" style="2" customWidth="1"/>
    <col min="11533" max="11533" width="15.44140625" style="2" customWidth="1"/>
    <col min="11534" max="11534" width="23.109375" style="2" customWidth="1"/>
    <col min="11535" max="11535" width="15.88671875" style="2" customWidth="1"/>
    <col min="11536" max="11536" width="14.6640625" style="2" customWidth="1"/>
    <col min="11537" max="11537" width="26.5546875" style="2" customWidth="1"/>
    <col min="11538" max="11538" width="17.109375" style="2" customWidth="1"/>
    <col min="11539" max="11539" width="17.5546875" style="2" customWidth="1"/>
    <col min="11540" max="11540" width="16.44140625" style="2" customWidth="1"/>
    <col min="11541" max="11541" width="10" style="2" bestFit="1" customWidth="1"/>
    <col min="11542" max="11776" width="9.109375" style="2"/>
    <col min="11777" max="11777" width="14.33203125" style="2" customWidth="1"/>
    <col min="11778" max="11778" width="9" style="2" customWidth="1"/>
    <col min="11779" max="11779" width="11" style="2" customWidth="1"/>
    <col min="11780" max="11780" width="15.33203125" style="2" customWidth="1"/>
    <col min="11781" max="11781" width="10.77734375" style="2" customWidth="1"/>
    <col min="11782" max="11782" width="1.33203125" style="2" customWidth="1"/>
    <col min="11783" max="11783" width="5.109375" style="2" customWidth="1"/>
    <col min="11784" max="11784" width="13.33203125" style="2" customWidth="1"/>
    <col min="11785" max="11785" width="4.88671875" style="2" customWidth="1"/>
    <col min="11786" max="11786" width="9.109375" style="2"/>
    <col min="11787" max="11787" width="16.21875" style="2" customWidth="1"/>
    <col min="11788" max="11788" width="17.109375" style="2" customWidth="1"/>
    <col min="11789" max="11789" width="15.44140625" style="2" customWidth="1"/>
    <col min="11790" max="11790" width="23.109375" style="2" customWidth="1"/>
    <col min="11791" max="11791" width="15.88671875" style="2" customWidth="1"/>
    <col min="11792" max="11792" width="14.6640625" style="2" customWidth="1"/>
    <col min="11793" max="11793" width="26.5546875" style="2" customWidth="1"/>
    <col min="11794" max="11794" width="17.109375" style="2" customWidth="1"/>
    <col min="11795" max="11795" width="17.5546875" style="2" customWidth="1"/>
    <col min="11796" max="11796" width="16.44140625" style="2" customWidth="1"/>
    <col min="11797" max="11797" width="10" style="2" bestFit="1" customWidth="1"/>
    <col min="11798" max="12032" width="9.109375" style="2"/>
    <col min="12033" max="12033" width="14.33203125" style="2" customWidth="1"/>
    <col min="12034" max="12034" width="9" style="2" customWidth="1"/>
    <col min="12035" max="12035" width="11" style="2" customWidth="1"/>
    <col min="12036" max="12036" width="15.33203125" style="2" customWidth="1"/>
    <col min="12037" max="12037" width="10.77734375" style="2" customWidth="1"/>
    <col min="12038" max="12038" width="1.33203125" style="2" customWidth="1"/>
    <col min="12039" max="12039" width="5.109375" style="2" customWidth="1"/>
    <col min="12040" max="12040" width="13.33203125" style="2" customWidth="1"/>
    <col min="12041" max="12041" width="4.88671875" style="2" customWidth="1"/>
    <col min="12042" max="12042" width="9.109375" style="2"/>
    <col min="12043" max="12043" width="16.21875" style="2" customWidth="1"/>
    <col min="12044" max="12044" width="17.109375" style="2" customWidth="1"/>
    <col min="12045" max="12045" width="15.44140625" style="2" customWidth="1"/>
    <col min="12046" max="12046" width="23.109375" style="2" customWidth="1"/>
    <col min="12047" max="12047" width="15.88671875" style="2" customWidth="1"/>
    <col min="12048" max="12048" width="14.6640625" style="2" customWidth="1"/>
    <col min="12049" max="12049" width="26.5546875" style="2" customWidth="1"/>
    <col min="12050" max="12050" width="17.109375" style="2" customWidth="1"/>
    <col min="12051" max="12051" width="17.5546875" style="2" customWidth="1"/>
    <col min="12052" max="12052" width="16.44140625" style="2" customWidth="1"/>
    <col min="12053" max="12053" width="10" style="2" bestFit="1" customWidth="1"/>
    <col min="12054" max="12288" width="9.109375" style="2"/>
    <col min="12289" max="12289" width="14.33203125" style="2" customWidth="1"/>
    <col min="12290" max="12290" width="9" style="2" customWidth="1"/>
    <col min="12291" max="12291" width="11" style="2" customWidth="1"/>
    <col min="12292" max="12292" width="15.33203125" style="2" customWidth="1"/>
    <col min="12293" max="12293" width="10.77734375" style="2" customWidth="1"/>
    <col min="12294" max="12294" width="1.33203125" style="2" customWidth="1"/>
    <col min="12295" max="12295" width="5.109375" style="2" customWidth="1"/>
    <col min="12296" max="12296" width="13.33203125" style="2" customWidth="1"/>
    <col min="12297" max="12297" width="4.88671875" style="2" customWidth="1"/>
    <col min="12298" max="12298" width="9.109375" style="2"/>
    <col min="12299" max="12299" width="16.21875" style="2" customWidth="1"/>
    <col min="12300" max="12300" width="17.109375" style="2" customWidth="1"/>
    <col min="12301" max="12301" width="15.44140625" style="2" customWidth="1"/>
    <col min="12302" max="12302" width="23.109375" style="2" customWidth="1"/>
    <col min="12303" max="12303" width="15.88671875" style="2" customWidth="1"/>
    <col min="12304" max="12304" width="14.6640625" style="2" customWidth="1"/>
    <col min="12305" max="12305" width="26.5546875" style="2" customWidth="1"/>
    <col min="12306" max="12306" width="17.109375" style="2" customWidth="1"/>
    <col min="12307" max="12307" width="17.5546875" style="2" customWidth="1"/>
    <col min="12308" max="12308" width="16.44140625" style="2" customWidth="1"/>
    <col min="12309" max="12309" width="10" style="2" bestFit="1" customWidth="1"/>
    <col min="12310" max="12544" width="9.109375" style="2"/>
    <col min="12545" max="12545" width="14.33203125" style="2" customWidth="1"/>
    <col min="12546" max="12546" width="9" style="2" customWidth="1"/>
    <col min="12547" max="12547" width="11" style="2" customWidth="1"/>
    <col min="12548" max="12548" width="15.33203125" style="2" customWidth="1"/>
    <col min="12549" max="12549" width="10.77734375" style="2" customWidth="1"/>
    <col min="12550" max="12550" width="1.33203125" style="2" customWidth="1"/>
    <col min="12551" max="12551" width="5.109375" style="2" customWidth="1"/>
    <col min="12552" max="12552" width="13.33203125" style="2" customWidth="1"/>
    <col min="12553" max="12553" width="4.88671875" style="2" customWidth="1"/>
    <col min="12554" max="12554" width="9.109375" style="2"/>
    <col min="12555" max="12555" width="16.21875" style="2" customWidth="1"/>
    <col min="12556" max="12556" width="17.109375" style="2" customWidth="1"/>
    <col min="12557" max="12557" width="15.44140625" style="2" customWidth="1"/>
    <col min="12558" max="12558" width="23.109375" style="2" customWidth="1"/>
    <col min="12559" max="12559" width="15.88671875" style="2" customWidth="1"/>
    <col min="12560" max="12560" width="14.6640625" style="2" customWidth="1"/>
    <col min="12561" max="12561" width="26.5546875" style="2" customWidth="1"/>
    <col min="12562" max="12562" width="17.109375" style="2" customWidth="1"/>
    <col min="12563" max="12563" width="17.5546875" style="2" customWidth="1"/>
    <col min="12564" max="12564" width="16.44140625" style="2" customWidth="1"/>
    <col min="12565" max="12565" width="10" style="2" bestFit="1" customWidth="1"/>
    <col min="12566" max="12800" width="9.109375" style="2"/>
    <col min="12801" max="12801" width="14.33203125" style="2" customWidth="1"/>
    <col min="12802" max="12802" width="9" style="2" customWidth="1"/>
    <col min="12803" max="12803" width="11" style="2" customWidth="1"/>
    <col min="12804" max="12804" width="15.33203125" style="2" customWidth="1"/>
    <col min="12805" max="12805" width="10.77734375" style="2" customWidth="1"/>
    <col min="12806" max="12806" width="1.33203125" style="2" customWidth="1"/>
    <col min="12807" max="12807" width="5.109375" style="2" customWidth="1"/>
    <col min="12808" max="12808" width="13.33203125" style="2" customWidth="1"/>
    <col min="12809" max="12809" width="4.88671875" style="2" customWidth="1"/>
    <col min="12810" max="12810" width="9.109375" style="2"/>
    <col min="12811" max="12811" width="16.21875" style="2" customWidth="1"/>
    <col min="12812" max="12812" width="17.109375" style="2" customWidth="1"/>
    <col min="12813" max="12813" width="15.44140625" style="2" customWidth="1"/>
    <col min="12814" max="12814" width="23.109375" style="2" customWidth="1"/>
    <col min="12815" max="12815" width="15.88671875" style="2" customWidth="1"/>
    <col min="12816" max="12816" width="14.6640625" style="2" customWidth="1"/>
    <col min="12817" max="12817" width="26.5546875" style="2" customWidth="1"/>
    <col min="12818" max="12818" width="17.109375" style="2" customWidth="1"/>
    <col min="12819" max="12819" width="17.5546875" style="2" customWidth="1"/>
    <col min="12820" max="12820" width="16.44140625" style="2" customWidth="1"/>
    <col min="12821" max="12821" width="10" style="2" bestFit="1" customWidth="1"/>
    <col min="12822" max="13056" width="9.109375" style="2"/>
    <col min="13057" max="13057" width="14.33203125" style="2" customWidth="1"/>
    <col min="13058" max="13058" width="9" style="2" customWidth="1"/>
    <col min="13059" max="13059" width="11" style="2" customWidth="1"/>
    <col min="13060" max="13060" width="15.33203125" style="2" customWidth="1"/>
    <col min="13061" max="13061" width="10.77734375" style="2" customWidth="1"/>
    <col min="13062" max="13062" width="1.33203125" style="2" customWidth="1"/>
    <col min="13063" max="13063" width="5.109375" style="2" customWidth="1"/>
    <col min="13064" max="13064" width="13.33203125" style="2" customWidth="1"/>
    <col min="13065" max="13065" width="4.88671875" style="2" customWidth="1"/>
    <col min="13066" max="13066" width="9.109375" style="2"/>
    <col min="13067" max="13067" width="16.21875" style="2" customWidth="1"/>
    <col min="13068" max="13068" width="17.109375" style="2" customWidth="1"/>
    <col min="13069" max="13069" width="15.44140625" style="2" customWidth="1"/>
    <col min="13070" max="13070" width="23.109375" style="2" customWidth="1"/>
    <col min="13071" max="13071" width="15.88671875" style="2" customWidth="1"/>
    <col min="13072" max="13072" width="14.6640625" style="2" customWidth="1"/>
    <col min="13073" max="13073" width="26.5546875" style="2" customWidth="1"/>
    <col min="13074" max="13074" width="17.109375" style="2" customWidth="1"/>
    <col min="13075" max="13075" width="17.5546875" style="2" customWidth="1"/>
    <col min="13076" max="13076" width="16.44140625" style="2" customWidth="1"/>
    <col min="13077" max="13077" width="10" style="2" bestFit="1" customWidth="1"/>
    <col min="13078" max="13312" width="9.109375" style="2"/>
    <col min="13313" max="13313" width="14.33203125" style="2" customWidth="1"/>
    <col min="13314" max="13314" width="9" style="2" customWidth="1"/>
    <col min="13315" max="13315" width="11" style="2" customWidth="1"/>
    <col min="13316" max="13316" width="15.33203125" style="2" customWidth="1"/>
    <col min="13317" max="13317" width="10.77734375" style="2" customWidth="1"/>
    <col min="13318" max="13318" width="1.33203125" style="2" customWidth="1"/>
    <col min="13319" max="13319" width="5.109375" style="2" customWidth="1"/>
    <col min="13320" max="13320" width="13.33203125" style="2" customWidth="1"/>
    <col min="13321" max="13321" width="4.88671875" style="2" customWidth="1"/>
    <col min="13322" max="13322" width="9.109375" style="2"/>
    <col min="13323" max="13323" width="16.21875" style="2" customWidth="1"/>
    <col min="13324" max="13324" width="17.109375" style="2" customWidth="1"/>
    <col min="13325" max="13325" width="15.44140625" style="2" customWidth="1"/>
    <col min="13326" max="13326" width="23.109375" style="2" customWidth="1"/>
    <col min="13327" max="13327" width="15.88671875" style="2" customWidth="1"/>
    <col min="13328" max="13328" width="14.6640625" style="2" customWidth="1"/>
    <col min="13329" max="13329" width="26.5546875" style="2" customWidth="1"/>
    <col min="13330" max="13330" width="17.109375" style="2" customWidth="1"/>
    <col min="13331" max="13331" width="17.5546875" style="2" customWidth="1"/>
    <col min="13332" max="13332" width="16.44140625" style="2" customWidth="1"/>
    <col min="13333" max="13333" width="10" style="2" bestFit="1" customWidth="1"/>
    <col min="13334" max="13568" width="9.109375" style="2"/>
    <col min="13569" max="13569" width="14.33203125" style="2" customWidth="1"/>
    <col min="13570" max="13570" width="9" style="2" customWidth="1"/>
    <col min="13571" max="13571" width="11" style="2" customWidth="1"/>
    <col min="13572" max="13572" width="15.33203125" style="2" customWidth="1"/>
    <col min="13573" max="13573" width="10.77734375" style="2" customWidth="1"/>
    <col min="13574" max="13574" width="1.33203125" style="2" customWidth="1"/>
    <col min="13575" max="13575" width="5.109375" style="2" customWidth="1"/>
    <col min="13576" max="13576" width="13.33203125" style="2" customWidth="1"/>
    <col min="13577" max="13577" width="4.88671875" style="2" customWidth="1"/>
    <col min="13578" max="13578" width="9.109375" style="2"/>
    <col min="13579" max="13579" width="16.21875" style="2" customWidth="1"/>
    <col min="13580" max="13580" width="17.109375" style="2" customWidth="1"/>
    <col min="13581" max="13581" width="15.44140625" style="2" customWidth="1"/>
    <col min="13582" max="13582" width="23.109375" style="2" customWidth="1"/>
    <col min="13583" max="13583" width="15.88671875" style="2" customWidth="1"/>
    <col min="13584" max="13584" width="14.6640625" style="2" customWidth="1"/>
    <col min="13585" max="13585" width="26.5546875" style="2" customWidth="1"/>
    <col min="13586" max="13586" width="17.109375" style="2" customWidth="1"/>
    <col min="13587" max="13587" width="17.5546875" style="2" customWidth="1"/>
    <col min="13588" max="13588" width="16.44140625" style="2" customWidth="1"/>
    <col min="13589" max="13589" width="10" style="2" bestFit="1" customWidth="1"/>
    <col min="13590" max="13824" width="9.109375" style="2"/>
    <col min="13825" max="13825" width="14.33203125" style="2" customWidth="1"/>
    <col min="13826" max="13826" width="9" style="2" customWidth="1"/>
    <col min="13827" max="13827" width="11" style="2" customWidth="1"/>
    <col min="13828" max="13828" width="15.33203125" style="2" customWidth="1"/>
    <col min="13829" max="13829" width="10.77734375" style="2" customWidth="1"/>
    <col min="13830" max="13830" width="1.33203125" style="2" customWidth="1"/>
    <col min="13831" max="13831" width="5.109375" style="2" customWidth="1"/>
    <col min="13832" max="13832" width="13.33203125" style="2" customWidth="1"/>
    <col min="13833" max="13833" width="4.88671875" style="2" customWidth="1"/>
    <col min="13834" max="13834" width="9.109375" style="2"/>
    <col min="13835" max="13835" width="16.21875" style="2" customWidth="1"/>
    <col min="13836" max="13836" width="17.109375" style="2" customWidth="1"/>
    <col min="13837" max="13837" width="15.44140625" style="2" customWidth="1"/>
    <col min="13838" max="13838" width="23.109375" style="2" customWidth="1"/>
    <col min="13839" max="13839" width="15.88671875" style="2" customWidth="1"/>
    <col min="13840" max="13840" width="14.6640625" style="2" customWidth="1"/>
    <col min="13841" max="13841" width="26.5546875" style="2" customWidth="1"/>
    <col min="13842" max="13842" width="17.109375" style="2" customWidth="1"/>
    <col min="13843" max="13843" width="17.5546875" style="2" customWidth="1"/>
    <col min="13844" max="13844" width="16.44140625" style="2" customWidth="1"/>
    <col min="13845" max="13845" width="10" style="2" bestFit="1" customWidth="1"/>
    <col min="13846" max="14080" width="9.109375" style="2"/>
    <col min="14081" max="14081" width="14.33203125" style="2" customWidth="1"/>
    <col min="14082" max="14082" width="9" style="2" customWidth="1"/>
    <col min="14083" max="14083" width="11" style="2" customWidth="1"/>
    <col min="14084" max="14084" width="15.33203125" style="2" customWidth="1"/>
    <col min="14085" max="14085" width="10.77734375" style="2" customWidth="1"/>
    <col min="14086" max="14086" width="1.33203125" style="2" customWidth="1"/>
    <col min="14087" max="14087" width="5.109375" style="2" customWidth="1"/>
    <col min="14088" max="14088" width="13.33203125" style="2" customWidth="1"/>
    <col min="14089" max="14089" width="4.88671875" style="2" customWidth="1"/>
    <col min="14090" max="14090" width="9.109375" style="2"/>
    <col min="14091" max="14091" width="16.21875" style="2" customWidth="1"/>
    <col min="14092" max="14092" width="17.109375" style="2" customWidth="1"/>
    <col min="14093" max="14093" width="15.44140625" style="2" customWidth="1"/>
    <col min="14094" max="14094" width="23.109375" style="2" customWidth="1"/>
    <col min="14095" max="14095" width="15.88671875" style="2" customWidth="1"/>
    <col min="14096" max="14096" width="14.6640625" style="2" customWidth="1"/>
    <col min="14097" max="14097" width="26.5546875" style="2" customWidth="1"/>
    <col min="14098" max="14098" width="17.109375" style="2" customWidth="1"/>
    <col min="14099" max="14099" width="17.5546875" style="2" customWidth="1"/>
    <col min="14100" max="14100" width="16.44140625" style="2" customWidth="1"/>
    <col min="14101" max="14101" width="10" style="2" bestFit="1" customWidth="1"/>
    <col min="14102" max="14336" width="9.109375" style="2"/>
    <col min="14337" max="14337" width="14.33203125" style="2" customWidth="1"/>
    <col min="14338" max="14338" width="9" style="2" customWidth="1"/>
    <col min="14339" max="14339" width="11" style="2" customWidth="1"/>
    <col min="14340" max="14340" width="15.33203125" style="2" customWidth="1"/>
    <col min="14341" max="14341" width="10.77734375" style="2" customWidth="1"/>
    <col min="14342" max="14342" width="1.33203125" style="2" customWidth="1"/>
    <col min="14343" max="14343" width="5.109375" style="2" customWidth="1"/>
    <col min="14344" max="14344" width="13.33203125" style="2" customWidth="1"/>
    <col min="14345" max="14345" width="4.88671875" style="2" customWidth="1"/>
    <col min="14346" max="14346" width="9.109375" style="2"/>
    <col min="14347" max="14347" width="16.21875" style="2" customWidth="1"/>
    <col min="14348" max="14348" width="17.109375" style="2" customWidth="1"/>
    <col min="14349" max="14349" width="15.44140625" style="2" customWidth="1"/>
    <col min="14350" max="14350" width="23.109375" style="2" customWidth="1"/>
    <col min="14351" max="14351" width="15.88671875" style="2" customWidth="1"/>
    <col min="14352" max="14352" width="14.6640625" style="2" customWidth="1"/>
    <col min="14353" max="14353" width="26.5546875" style="2" customWidth="1"/>
    <col min="14354" max="14354" width="17.109375" style="2" customWidth="1"/>
    <col min="14355" max="14355" width="17.5546875" style="2" customWidth="1"/>
    <col min="14356" max="14356" width="16.44140625" style="2" customWidth="1"/>
    <col min="14357" max="14357" width="10" style="2" bestFit="1" customWidth="1"/>
    <col min="14358" max="14592" width="9.109375" style="2"/>
    <col min="14593" max="14593" width="14.33203125" style="2" customWidth="1"/>
    <col min="14594" max="14594" width="9" style="2" customWidth="1"/>
    <col min="14595" max="14595" width="11" style="2" customWidth="1"/>
    <col min="14596" max="14596" width="15.33203125" style="2" customWidth="1"/>
    <col min="14597" max="14597" width="10.77734375" style="2" customWidth="1"/>
    <col min="14598" max="14598" width="1.33203125" style="2" customWidth="1"/>
    <col min="14599" max="14599" width="5.109375" style="2" customWidth="1"/>
    <col min="14600" max="14600" width="13.33203125" style="2" customWidth="1"/>
    <col min="14601" max="14601" width="4.88671875" style="2" customWidth="1"/>
    <col min="14602" max="14602" width="9.109375" style="2"/>
    <col min="14603" max="14603" width="16.21875" style="2" customWidth="1"/>
    <col min="14604" max="14604" width="17.109375" style="2" customWidth="1"/>
    <col min="14605" max="14605" width="15.44140625" style="2" customWidth="1"/>
    <col min="14606" max="14606" width="23.109375" style="2" customWidth="1"/>
    <col min="14607" max="14607" width="15.88671875" style="2" customWidth="1"/>
    <col min="14608" max="14608" width="14.6640625" style="2" customWidth="1"/>
    <col min="14609" max="14609" width="26.5546875" style="2" customWidth="1"/>
    <col min="14610" max="14610" width="17.109375" style="2" customWidth="1"/>
    <col min="14611" max="14611" width="17.5546875" style="2" customWidth="1"/>
    <col min="14612" max="14612" width="16.44140625" style="2" customWidth="1"/>
    <col min="14613" max="14613" width="10" style="2" bestFit="1" customWidth="1"/>
    <col min="14614" max="14848" width="9.109375" style="2"/>
    <col min="14849" max="14849" width="14.33203125" style="2" customWidth="1"/>
    <col min="14850" max="14850" width="9" style="2" customWidth="1"/>
    <col min="14851" max="14851" width="11" style="2" customWidth="1"/>
    <col min="14852" max="14852" width="15.33203125" style="2" customWidth="1"/>
    <col min="14853" max="14853" width="10.77734375" style="2" customWidth="1"/>
    <col min="14854" max="14854" width="1.33203125" style="2" customWidth="1"/>
    <col min="14855" max="14855" width="5.109375" style="2" customWidth="1"/>
    <col min="14856" max="14856" width="13.33203125" style="2" customWidth="1"/>
    <col min="14857" max="14857" width="4.88671875" style="2" customWidth="1"/>
    <col min="14858" max="14858" width="9.109375" style="2"/>
    <col min="14859" max="14859" width="16.21875" style="2" customWidth="1"/>
    <col min="14860" max="14860" width="17.109375" style="2" customWidth="1"/>
    <col min="14861" max="14861" width="15.44140625" style="2" customWidth="1"/>
    <col min="14862" max="14862" width="23.109375" style="2" customWidth="1"/>
    <col min="14863" max="14863" width="15.88671875" style="2" customWidth="1"/>
    <col min="14864" max="14864" width="14.6640625" style="2" customWidth="1"/>
    <col min="14865" max="14865" width="26.5546875" style="2" customWidth="1"/>
    <col min="14866" max="14866" width="17.109375" style="2" customWidth="1"/>
    <col min="14867" max="14867" width="17.5546875" style="2" customWidth="1"/>
    <col min="14868" max="14868" width="16.44140625" style="2" customWidth="1"/>
    <col min="14869" max="14869" width="10" style="2" bestFit="1" customWidth="1"/>
    <col min="14870" max="15104" width="9.109375" style="2"/>
    <col min="15105" max="15105" width="14.33203125" style="2" customWidth="1"/>
    <col min="15106" max="15106" width="9" style="2" customWidth="1"/>
    <col min="15107" max="15107" width="11" style="2" customWidth="1"/>
    <col min="15108" max="15108" width="15.33203125" style="2" customWidth="1"/>
    <col min="15109" max="15109" width="10.77734375" style="2" customWidth="1"/>
    <col min="15110" max="15110" width="1.33203125" style="2" customWidth="1"/>
    <col min="15111" max="15111" width="5.109375" style="2" customWidth="1"/>
    <col min="15112" max="15112" width="13.33203125" style="2" customWidth="1"/>
    <col min="15113" max="15113" width="4.88671875" style="2" customWidth="1"/>
    <col min="15114" max="15114" width="9.109375" style="2"/>
    <col min="15115" max="15115" width="16.21875" style="2" customWidth="1"/>
    <col min="15116" max="15116" width="17.109375" style="2" customWidth="1"/>
    <col min="15117" max="15117" width="15.44140625" style="2" customWidth="1"/>
    <col min="15118" max="15118" width="23.109375" style="2" customWidth="1"/>
    <col min="15119" max="15119" width="15.88671875" style="2" customWidth="1"/>
    <col min="15120" max="15120" width="14.6640625" style="2" customWidth="1"/>
    <col min="15121" max="15121" width="26.5546875" style="2" customWidth="1"/>
    <col min="15122" max="15122" width="17.109375" style="2" customWidth="1"/>
    <col min="15123" max="15123" width="17.5546875" style="2" customWidth="1"/>
    <col min="15124" max="15124" width="16.44140625" style="2" customWidth="1"/>
    <col min="15125" max="15125" width="10" style="2" bestFit="1" customWidth="1"/>
    <col min="15126" max="15360" width="9.109375" style="2"/>
    <col min="15361" max="15361" width="14.33203125" style="2" customWidth="1"/>
    <col min="15362" max="15362" width="9" style="2" customWidth="1"/>
    <col min="15363" max="15363" width="11" style="2" customWidth="1"/>
    <col min="15364" max="15364" width="15.33203125" style="2" customWidth="1"/>
    <col min="15365" max="15365" width="10.77734375" style="2" customWidth="1"/>
    <col min="15366" max="15366" width="1.33203125" style="2" customWidth="1"/>
    <col min="15367" max="15367" width="5.109375" style="2" customWidth="1"/>
    <col min="15368" max="15368" width="13.33203125" style="2" customWidth="1"/>
    <col min="15369" max="15369" width="4.88671875" style="2" customWidth="1"/>
    <col min="15370" max="15370" width="9.109375" style="2"/>
    <col min="15371" max="15371" width="16.21875" style="2" customWidth="1"/>
    <col min="15372" max="15372" width="17.109375" style="2" customWidth="1"/>
    <col min="15373" max="15373" width="15.44140625" style="2" customWidth="1"/>
    <col min="15374" max="15374" width="23.109375" style="2" customWidth="1"/>
    <col min="15375" max="15375" width="15.88671875" style="2" customWidth="1"/>
    <col min="15376" max="15376" width="14.6640625" style="2" customWidth="1"/>
    <col min="15377" max="15377" width="26.5546875" style="2" customWidth="1"/>
    <col min="15378" max="15378" width="17.109375" style="2" customWidth="1"/>
    <col min="15379" max="15379" width="17.5546875" style="2" customWidth="1"/>
    <col min="15380" max="15380" width="16.44140625" style="2" customWidth="1"/>
    <col min="15381" max="15381" width="10" style="2" bestFit="1" customWidth="1"/>
    <col min="15382" max="15616" width="9.109375" style="2"/>
    <col min="15617" max="15617" width="14.33203125" style="2" customWidth="1"/>
    <col min="15618" max="15618" width="9" style="2" customWidth="1"/>
    <col min="15619" max="15619" width="11" style="2" customWidth="1"/>
    <col min="15620" max="15620" width="15.33203125" style="2" customWidth="1"/>
    <col min="15621" max="15621" width="10.77734375" style="2" customWidth="1"/>
    <col min="15622" max="15622" width="1.33203125" style="2" customWidth="1"/>
    <col min="15623" max="15623" width="5.109375" style="2" customWidth="1"/>
    <col min="15624" max="15624" width="13.33203125" style="2" customWidth="1"/>
    <col min="15625" max="15625" width="4.88671875" style="2" customWidth="1"/>
    <col min="15626" max="15626" width="9.109375" style="2"/>
    <col min="15627" max="15627" width="16.21875" style="2" customWidth="1"/>
    <col min="15628" max="15628" width="17.109375" style="2" customWidth="1"/>
    <col min="15629" max="15629" width="15.44140625" style="2" customWidth="1"/>
    <col min="15630" max="15630" width="23.109375" style="2" customWidth="1"/>
    <col min="15631" max="15631" width="15.88671875" style="2" customWidth="1"/>
    <col min="15632" max="15632" width="14.6640625" style="2" customWidth="1"/>
    <col min="15633" max="15633" width="26.5546875" style="2" customWidth="1"/>
    <col min="15634" max="15634" width="17.109375" style="2" customWidth="1"/>
    <col min="15635" max="15635" width="17.5546875" style="2" customWidth="1"/>
    <col min="15636" max="15636" width="16.44140625" style="2" customWidth="1"/>
    <col min="15637" max="15637" width="10" style="2" bestFit="1" customWidth="1"/>
    <col min="15638" max="15872" width="9.109375" style="2"/>
    <col min="15873" max="15873" width="14.33203125" style="2" customWidth="1"/>
    <col min="15874" max="15874" width="9" style="2" customWidth="1"/>
    <col min="15875" max="15875" width="11" style="2" customWidth="1"/>
    <col min="15876" max="15876" width="15.33203125" style="2" customWidth="1"/>
    <col min="15877" max="15877" width="10.77734375" style="2" customWidth="1"/>
    <col min="15878" max="15878" width="1.33203125" style="2" customWidth="1"/>
    <col min="15879" max="15879" width="5.109375" style="2" customWidth="1"/>
    <col min="15880" max="15880" width="13.33203125" style="2" customWidth="1"/>
    <col min="15881" max="15881" width="4.88671875" style="2" customWidth="1"/>
    <col min="15882" max="15882" width="9.109375" style="2"/>
    <col min="15883" max="15883" width="16.21875" style="2" customWidth="1"/>
    <col min="15884" max="15884" width="17.109375" style="2" customWidth="1"/>
    <col min="15885" max="15885" width="15.44140625" style="2" customWidth="1"/>
    <col min="15886" max="15886" width="23.109375" style="2" customWidth="1"/>
    <col min="15887" max="15887" width="15.88671875" style="2" customWidth="1"/>
    <col min="15888" max="15888" width="14.6640625" style="2" customWidth="1"/>
    <col min="15889" max="15889" width="26.5546875" style="2" customWidth="1"/>
    <col min="15890" max="15890" width="17.109375" style="2" customWidth="1"/>
    <col min="15891" max="15891" width="17.5546875" style="2" customWidth="1"/>
    <col min="15892" max="15892" width="16.44140625" style="2" customWidth="1"/>
    <col min="15893" max="15893" width="10" style="2" bestFit="1" customWidth="1"/>
    <col min="15894" max="16128" width="9.109375" style="2"/>
    <col min="16129" max="16129" width="14.33203125" style="2" customWidth="1"/>
    <col min="16130" max="16130" width="9" style="2" customWidth="1"/>
    <col min="16131" max="16131" width="11" style="2" customWidth="1"/>
    <col min="16132" max="16132" width="15.33203125" style="2" customWidth="1"/>
    <col min="16133" max="16133" width="10.77734375" style="2" customWidth="1"/>
    <col min="16134" max="16134" width="1.33203125" style="2" customWidth="1"/>
    <col min="16135" max="16135" width="5.109375" style="2" customWidth="1"/>
    <col min="16136" max="16136" width="13.33203125" style="2" customWidth="1"/>
    <col min="16137" max="16137" width="4.88671875" style="2" customWidth="1"/>
    <col min="16138" max="16138" width="9.109375" style="2"/>
    <col min="16139" max="16139" width="16.21875" style="2" customWidth="1"/>
    <col min="16140" max="16140" width="17.109375" style="2" customWidth="1"/>
    <col min="16141" max="16141" width="15.44140625" style="2" customWidth="1"/>
    <col min="16142" max="16142" width="23.109375" style="2" customWidth="1"/>
    <col min="16143" max="16143" width="15.88671875" style="2" customWidth="1"/>
    <col min="16144" max="16144" width="14.6640625" style="2" customWidth="1"/>
    <col min="16145" max="16145" width="26.5546875" style="2" customWidth="1"/>
    <col min="16146" max="16146" width="17.109375" style="2" customWidth="1"/>
    <col min="16147" max="16147" width="17.5546875" style="2" customWidth="1"/>
    <col min="16148" max="16148" width="16.44140625" style="2" customWidth="1"/>
    <col min="16149" max="16149" width="10" style="2" bestFit="1" customWidth="1"/>
    <col min="16150" max="16384" width="9.109375" style="2"/>
  </cols>
  <sheetData>
    <row r="1" spans="1:13" ht="15.6" x14ac:dyDescent="0.3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3"/>
      <c r="M1" s="1"/>
    </row>
    <row r="2" spans="1:13" ht="15.6" x14ac:dyDescent="0.3">
      <c r="A2" s="554" t="s">
        <v>1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6"/>
      <c r="M2" s="1"/>
    </row>
    <row r="3" spans="1:13" ht="15.6" x14ac:dyDescent="0.3">
      <c r="A3" s="557" t="s">
        <v>2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558"/>
      <c r="M3" s="3"/>
    </row>
    <row r="4" spans="1:13" ht="15.6" x14ac:dyDescent="0.3">
      <c r="A4" s="559" t="s">
        <v>3</v>
      </c>
      <c r="B4" s="506"/>
      <c r="C4" s="506"/>
      <c r="D4" s="506"/>
      <c r="E4" s="506"/>
      <c r="F4" s="506"/>
      <c r="G4" s="506"/>
      <c r="H4" s="506"/>
      <c r="I4" s="506"/>
      <c r="J4" s="506"/>
      <c r="K4" s="506"/>
      <c r="L4" s="560"/>
      <c r="M4" s="3"/>
    </row>
    <row r="5" spans="1:13" ht="27.6" customHeight="1" x14ac:dyDescent="0.3">
      <c r="A5" s="561" t="s">
        <v>4</v>
      </c>
      <c r="B5" s="562"/>
      <c r="C5" s="562"/>
      <c r="D5" s="562"/>
      <c r="E5" s="562"/>
      <c r="F5" s="562"/>
      <c r="G5" s="562"/>
      <c r="H5" s="562"/>
      <c r="I5" s="562"/>
      <c r="J5" s="563"/>
      <c r="K5" s="570" t="s">
        <v>5</v>
      </c>
      <c r="L5" s="571"/>
    </row>
    <row r="6" spans="1:13" ht="12.75" customHeight="1" x14ac:dyDescent="0.3">
      <c r="A6" s="564"/>
      <c r="B6" s="565"/>
      <c r="C6" s="565"/>
      <c r="D6" s="565"/>
      <c r="E6" s="565"/>
      <c r="F6" s="565"/>
      <c r="G6" s="565"/>
      <c r="H6" s="565"/>
      <c r="I6" s="565"/>
      <c r="J6" s="566"/>
      <c r="K6" s="4" t="s">
        <v>76</v>
      </c>
      <c r="L6" s="5"/>
      <c r="M6" s="6"/>
    </row>
    <row r="7" spans="1:13" ht="12.75" customHeight="1" x14ac:dyDescent="0.3">
      <c r="A7" s="567"/>
      <c r="B7" s="568"/>
      <c r="C7" s="568"/>
      <c r="D7" s="568"/>
      <c r="E7" s="568"/>
      <c r="F7" s="568"/>
      <c r="G7" s="568"/>
      <c r="H7" s="568"/>
      <c r="I7" s="568"/>
      <c r="J7" s="569"/>
      <c r="K7" s="7" t="s">
        <v>75</v>
      </c>
      <c r="L7" s="8"/>
      <c r="M7" s="6"/>
    </row>
    <row r="8" spans="1:13" x14ac:dyDescent="0.3">
      <c r="A8" s="9" t="s">
        <v>6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2"/>
      <c r="M8" s="13"/>
    </row>
    <row r="9" spans="1:13" x14ac:dyDescent="0.3">
      <c r="A9" s="14" t="s">
        <v>7</v>
      </c>
      <c r="B9" s="4" t="s">
        <v>8</v>
      </c>
      <c r="C9" s="15"/>
      <c r="E9" s="15"/>
      <c r="K9" s="13"/>
      <c r="L9" s="16"/>
      <c r="M9" s="13"/>
    </row>
    <row r="10" spans="1:13" x14ac:dyDescent="0.3">
      <c r="A10" s="14"/>
      <c r="B10" s="17"/>
      <c r="C10" s="13"/>
      <c r="D10" s="13"/>
      <c r="E10" s="13"/>
      <c r="F10" s="13"/>
      <c r="G10" s="13"/>
      <c r="H10" s="13"/>
      <c r="I10" s="13"/>
      <c r="J10" s="13"/>
      <c r="K10" s="524" t="s">
        <v>9</v>
      </c>
      <c r="L10" s="525"/>
      <c r="M10" s="13"/>
    </row>
    <row r="11" spans="1:13" ht="16.5" customHeight="1" x14ac:dyDescent="0.3">
      <c r="A11" s="18" t="s">
        <v>10</v>
      </c>
      <c r="B11" s="526"/>
      <c r="C11" s="527"/>
      <c r="D11" s="527"/>
      <c r="E11" s="528"/>
      <c r="F11" s="19" t="s">
        <v>11</v>
      </c>
      <c r="G11" s="20"/>
      <c r="H11" s="20"/>
      <c r="I11" s="20"/>
      <c r="J11" s="21"/>
      <c r="K11" s="22" t="s">
        <v>12</v>
      </c>
      <c r="L11" s="23"/>
      <c r="M11" s="6"/>
    </row>
    <row r="12" spans="1:13" ht="16.5" customHeight="1" x14ac:dyDescent="0.3">
      <c r="A12" s="24"/>
      <c r="B12" s="529"/>
      <c r="C12" s="530"/>
      <c r="D12" s="530"/>
      <c r="E12" s="531"/>
      <c r="F12" s="25"/>
      <c r="G12" s="532"/>
      <c r="H12" s="532"/>
      <c r="I12" s="532"/>
      <c r="J12" s="533"/>
      <c r="K12" s="7" t="s">
        <v>13</v>
      </c>
      <c r="L12" s="26"/>
      <c r="M12" s="6"/>
    </row>
    <row r="13" spans="1:13" ht="14.4" customHeight="1" x14ac:dyDescent="0.3">
      <c r="A13" s="27" t="s">
        <v>14</v>
      </c>
      <c r="B13" s="534"/>
      <c r="C13" s="535"/>
      <c r="D13" s="535"/>
      <c r="E13" s="535"/>
      <c r="F13" s="535"/>
      <c r="G13" s="535"/>
      <c r="H13" s="535"/>
      <c r="I13" s="535"/>
      <c r="J13" s="535"/>
      <c r="K13" s="535"/>
      <c r="L13" s="536"/>
      <c r="M13" s="6"/>
    </row>
    <row r="14" spans="1:13" ht="13.5" customHeight="1" x14ac:dyDescent="0.45">
      <c r="A14" s="24"/>
      <c r="B14" s="537"/>
      <c r="C14" s="538"/>
      <c r="D14" s="538"/>
      <c r="E14" s="538"/>
      <c r="F14" s="538"/>
      <c r="G14" s="538"/>
      <c r="H14" s="538"/>
      <c r="I14" s="538"/>
      <c r="J14" s="538"/>
      <c r="K14" s="538"/>
      <c r="L14" s="539"/>
      <c r="M14" s="28"/>
    </row>
    <row r="15" spans="1:13" ht="14.4" customHeight="1" x14ac:dyDescent="0.3">
      <c r="A15" s="540" t="s">
        <v>16</v>
      </c>
      <c r="B15" s="541"/>
      <c r="C15" s="541"/>
      <c r="D15" s="541"/>
      <c r="E15" s="542"/>
      <c r="F15" s="545" t="s">
        <v>17</v>
      </c>
      <c r="G15" s="541"/>
      <c r="H15" s="542"/>
      <c r="I15" s="547" t="s">
        <v>18</v>
      </c>
      <c r="J15" s="548"/>
      <c r="K15" s="545" t="s">
        <v>19</v>
      </c>
      <c r="L15" s="549"/>
      <c r="M15" s="13"/>
    </row>
    <row r="16" spans="1:13" x14ac:dyDescent="0.3">
      <c r="A16" s="543"/>
      <c r="B16" s="448"/>
      <c r="C16" s="448"/>
      <c r="D16" s="448"/>
      <c r="E16" s="544"/>
      <c r="F16" s="546"/>
      <c r="G16" s="448"/>
      <c r="H16" s="544"/>
      <c r="I16" s="546"/>
      <c r="J16" s="544"/>
      <c r="K16" s="546"/>
      <c r="L16" s="550"/>
      <c r="M16" s="13"/>
    </row>
    <row r="17" spans="1:18" x14ac:dyDescent="0.3">
      <c r="A17" s="29"/>
      <c r="B17" s="30"/>
      <c r="C17" s="30"/>
      <c r="D17" s="30"/>
      <c r="E17" s="31"/>
      <c r="F17" s="32"/>
      <c r="G17" s="30"/>
      <c r="H17" s="31"/>
      <c r="I17" s="30"/>
      <c r="J17" s="33"/>
      <c r="K17" s="507"/>
      <c r="L17" s="508"/>
      <c r="M17" s="34"/>
    </row>
    <row r="18" spans="1:18" ht="27.45" customHeight="1" x14ac:dyDescent="0.3">
      <c r="A18" s="509" t="s">
        <v>20</v>
      </c>
      <c r="B18" s="510"/>
      <c r="C18" s="510"/>
      <c r="D18" s="510"/>
      <c r="E18" s="511"/>
      <c r="F18" s="35"/>
      <c r="G18" s="36"/>
      <c r="H18" s="37"/>
      <c r="I18" s="512"/>
      <c r="J18" s="513"/>
      <c r="K18" s="514"/>
      <c r="L18" s="515"/>
      <c r="M18" s="34"/>
    </row>
    <row r="19" spans="1:18" ht="21.45" customHeight="1" x14ac:dyDescent="0.3">
      <c r="A19" s="516"/>
      <c r="B19" s="517"/>
      <c r="C19" s="517"/>
      <c r="D19" s="517"/>
      <c r="E19" s="39"/>
      <c r="F19" s="518">
        <v>70010802002</v>
      </c>
      <c r="G19" s="519"/>
      <c r="H19" s="520"/>
      <c r="I19" s="518">
        <v>5020101000</v>
      </c>
      <c r="J19" s="521"/>
      <c r="K19" s="522">
        <f>E24</f>
        <v>0</v>
      </c>
      <c r="L19" s="523"/>
      <c r="M19" s="34"/>
      <c r="N19" s="40"/>
      <c r="O19" s="40"/>
    </row>
    <row r="20" spans="1:18" ht="21.45" customHeight="1" x14ac:dyDescent="0.3">
      <c r="A20" s="41"/>
      <c r="B20" s="42"/>
      <c r="C20" s="43">
        <v>0.05</v>
      </c>
      <c r="D20" s="44"/>
      <c r="E20" s="45"/>
      <c r="F20" s="46"/>
      <c r="G20" s="46"/>
      <c r="H20" s="47"/>
      <c r="I20" s="500"/>
      <c r="J20" s="501"/>
      <c r="K20" s="502"/>
      <c r="L20" s="503"/>
      <c r="M20" s="34"/>
      <c r="N20" s="51">
        <f>ROUND(D20-(0+0),2)</f>
        <v>0</v>
      </c>
      <c r="O20" s="52"/>
    </row>
    <row r="21" spans="1:18" ht="21.45" customHeight="1" x14ac:dyDescent="0.3">
      <c r="A21" s="53"/>
      <c r="B21" s="54"/>
      <c r="C21" s="55">
        <v>0.01</v>
      </c>
      <c r="D21" s="44"/>
      <c r="E21" s="45"/>
      <c r="F21" s="46"/>
      <c r="G21" s="46"/>
      <c r="H21" s="47"/>
      <c r="I21" s="56"/>
      <c r="J21" s="48"/>
      <c r="K21" s="49"/>
      <c r="L21" s="50"/>
      <c r="M21" s="34"/>
      <c r="N21" s="51"/>
      <c r="O21" s="52"/>
    </row>
    <row r="22" spans="1:18" ht="21.45" customHeight="1" x14ac:dyDescent="0.3">
      <c r="A22" s="41"/>
      <c r="B22" s="42"/>
      <c r="C22" s="42" t="s">
        <v>21</v>
      </c>
      <c r="D22" s="44"/>
      <c r="E22" s="57"/>
      <c r="F22" s="58"/>
      <c r="G22" s="59"/>
      <c r="H22" s="60"/>
      <c r="I22" s="59"/>
      <c r="J22" s="61"/>
      <c r="K22" s="502"/>
      <c r="L22" s="503"/>
      <c r="M22" s="34"/>
    </row>
    <row r="23" spans="1:18" ht="21.45" customHeight="1" x14ac:dyDescent="0.3">
      <c r="A23" s="504"/>
      <c r="B23" s="505"/>
      <c r="C23" s="505"/>
      <c r="D23" s="44"/>
      <c r="E23" s="62"/>
      <c r="F23" s="58"/>
      <c r="G23" s="59"/>
      <c r="H23" s="59"/>
      <c r="I23" s="59"/>
      <c r="J23" s="61"/>
      <c r="K23" s="502"/>
      <c r="L23" s="503"/>
      <c r="M23" s="34"/>
    </row>
    <row r="24" spans="1:18" ht="21.45" customHeight="1" x14ac:dyDescent="0.3">
      <c r="A24" s="63"/>
      <c r="B24" s="64" t="s">
        <v>22</v>
      </c>
      <c r="C24" s="65"/>
      <c r="D24" s="66"/>
      <c r="E24" s="67">
        <f>E19-E22</f>
        <v>0</v>
      </c>
      <c r="F24" s="68"/>
      <c r="G24" s="69"/>
      <c r="H24" s="70"/>
      <c r="I24" s="69"/>
      <c r="J24" s="71"/>
      <c r="K24" s="72" t="s">
        <v>23</v>
      </c>
      <c r="L24" s="73">
        <f>K19</f>
        <v>0</v>
      </c>
      <c r="M24" s="74"/>
    </row>
    <row r="25" spans="1:18" x14ac:dyDescent="0.3">
      <c r="A25" s="75" t="s">
        <v>24</v>
      </c>
      <c r="B25" s="6"/>
      <c r="C25" s="6"/>
      <c r="D25" s="6"/>
      <c r="E25" s="6"/>
      <c r="F25" s="6"/>
      <c r="G25" s="76"/>
      <c r="H25" s="76"/>
      <c r="I25" s="76"/>
      <c r="J25" s="76"/>
      <c r="K25" s="74"/>
      <c r="L25" s="38"/>
      <c r="M25" s="74"/>
    </row>
    <row r="26" spans="1:18" x14ac:dyDescent="0.3">
      <c r="A26" s="77"/>
      <c r="B26" s="6"/>
      <c r="C26" s="6"/>
      <c r="D26" s="6"/>
      <c r="E26" s="6"/>
      <c r="F26" s="6"/>
      <c r="G26" s="76"/>
      <c r="H26" s="76"/>
      <c r="I26" s="76"/>
      <c r="J26" s="76"/>
      <c r="K26" s="74"/>
      <c r="L26" s="38"/>
      <c r="M26" s="74"/>
    </row>
    <row r="27" spans="1:18" ht="15.6" x14ac:dyDescent="0.3">
      <c r="A27" s="77"/>
      <c r="B27" s="6"/>
      <c r="C27" s="6"/>
      <c r="D27" s="506" t="s">
        <v>25</v>
      </c>
      <c r="E27" s="506"/>
      <c r="F27" s="506"/>
      <c r="G27" s="506"/>
      <c r="H27" s="506"/>
      <c r="I27" s="506"/>
      <c r="J27" s="506"/>
      <c r="K27" s="74"/>
      <c r="L27" s="38"/>
      <c r="M27" s="74"/>
    </row>
    <row r="28" spans="1:18" x14ac:dyDescent="0.3">
      <c r="A28" s="77"/>
      <c r="B28" s="6"/>
      <c r="C28" s="6"/>
      <c r="D28" s="445" t="s">
        <v>26</v>
      </c>
      <c r="E28" s="445"/>
      <c r="F28" s="445"/>
      <c r="G28" s="445"/>
      <c r="H28" s="445"/>
      <c r="I28" s="445"/>
      <c r="J28" s="445"/>
      <c r="K28" s="74"/>
      <c r="L28" s="38"/>
      <c r="M28" s="74"/>
    </row>
    <row r="29" spans="1:18" x14ac:dyDescent="0.3">
      <c r="A29" s="77"/>
      <c r="B29" s="6"/>
      <c r="C29" s="6"/>
      <c r="D29" s="6"/>
      <c r="E29" s="6"/>
      <c r="F29" s="6"/>
      <c r="G29" s="76"/>
      <c r="H29" s="76"/>
      <c r="I29" s="76"/>
      <c r="J29" s="76"/>
      <c r="K29" s="74"/>
      <c r="L29" s="38"/>
      <c r="M29" s="74"/>
    </row>
    <row r="30" spans="1:18" x14ac:dyDescent="0.3">
      <c r="A30" s="487" t="s">
        <v>27</v>
      </c>
      <c r="B30" s="488"/>
      <c r="C30" s="488"/>
      <c r="D30" s="488"/>
      <c r="E30" s="488"/>
      <c r="F30" s="488"/>
      <c r="G30" s="488"/>
      <c r="H30" s="488"/>
      <c r="I30" s="488"/>
      <c r="J30" s="488"/>
      <c r="K30" s="488"/>
      <c r="L30" s="489"/>
      <c r="M30" s="78"/>
      <c r="N30" s="52"/>
      <c r="O30" s="52"/>
      <c r="P30" s="78"/>
      <c r="Q30" s="78"/>
    </row>
    <row r="31" spans="1:18" x14ac:dyDescent="0.3">
      <c r="A31" s="79" t="s">
        <v>28</v>
      </c>
      <c r="B31" s="490" t="s">
        <v>29</v>
      </c>
      <c r="C31" s="490"/>
      <c r="D31" s="490"/>
      <c r="E31" s="490"/>
      <c r="F31" s="490"/>
      <c r="G31" s="490"/>
      <c r="H31" s="492" t="s">
        <v>30</v>
      </c>
      <c r="I31" s="493"/>
      <c r="J31" s="494"/>
      <c r="K31" s="490" t="s">
        <v>31</v>
      </c>
      <c r="L31" s="498" t="s">
        <v>32</v>
      </c>
      <c r="M31" s="80"/>
      <c r="O31" s="81"/>
      <c r="P31" s="52"/>
      <c r="Q31" s="52"/>
      <c r="R31" s="81"/>
    </row>
    <row r="32" spans="1:18" ht="10.050000000000001" customHeight="1" x14ac:dyDescent="0.3">
      <c r="A32" s="82" t="s">
        <v>33</v>
      </c>
      <c r="B32" s="491"/>
      <c r="C32" s="491"/>
      <c r="D32" s="491"/>
      <c r="E32" s="491"/>
      <c r="F32" s="491"/>
      <c r="G32" s="491"/>
      <c r="H32" s="495"/>
      <c r="I32" s="496"/>
      <c r="J32" s="497"/>
      <c r="K32" s="491"/>
      <c r="L32" s="499"/>
      <c r="M32" s="80"/>
      <c r="O32" s="81"/>
      <c r="Q32" s="40"/>
    </row>
    <row r="33" spans="1:19" ht="16.95" customHeight="1" x14ac:dyDescent="0.3">
      <c r="A33" s="83"/>
      <c r="B33" s="484" t="s">
        <v>34</v>
      </c>
      <c r="C33" s="485"/>
      <c r="D33" s="485"/>
      <c r="E33" s="485"/>
      <c r="F33" s="485"/>
      <c r="G33" s="486"/>
      <c r="H33" s="473">
        <f>VLOOKUP(B33,[1]TB!A$1:B$65536,2,0)</f>
        <v>5020301000</v>
      </c>
      <c r="I33" s="474"/>
      <c r="J33" s="475"/>
      <c r="K33" s="86">
        <f>E19</f>
        <v>0</v>
      </c>
      <c r="L33" s="87"/>
      <c r="M33" s="88"/>
      <c r="O33" s="81"/>
      <c r="P33" s="89"/>
      <c r="R33" s="81"/>
      <c r="S33" s="90"/>
    </row>
    <row r="34" spans="1:19" ht="13.95" hidden="1" customHeight="1" x14ac:dyDescent="0.3">
      <c r="A34" s="83"/>
      <c r="B34" s="484" t="s">
        <v>35</v>
      </c>
      <c r="C34" s="485"/>
      <c r="D34" s="485"/>
      <c r="E34" s="485"/>
      <c r="F34" s="485"/>
      <c r="G34" s="486"/>
      <c r="H34" s="473">
        <f>VLOOKUP(B34,[1]TB!A$1:B$65536,2,0)</f>
        <v>5020201000</v>
      </c>
      <c r="I34" s="474"/>
      <c r="J34" s="475"/>
      <c r="K34" s="86"/>
      <c r="L34" s="87"/>
      <c r="M34" s="88"/>
      <c r="O34" s="81"/>
      <c r="P34" s="89"/>
      <c r="R34" s="81"/>
      <c r="S34" s="90"/>
    </row>
    <row r="35" spans="1:19" ht="13.95" hidden="1" customHeight="1" x14ac:dyDescent="0.3">
      <c r="A35" s="83"/>
      <c r="B35" s="484" t="s">
        <v>34</v>
      </c>
      <c r="C35" s="485"/>
      <c r="D35" s="485"/>
      <c r="E35" s="485"/>
      <c r="F35" s="485"/>
      <c r="G35" s="486"/>
      <c r="H35" s="473">
        <f>VLOOKUP(B35,[1]TB!A$1:B$65536,2,0)</f>
        <v>5020301000</v>
      </c>
      <c r="I35" s="474"/>
      <c r="J35" s="475"/>
      <c r="K35" s="86"/>
      <c r="L35" s="87"/>
      <c r="M35" s="88"/>
      <c r="O35" s="81"/>
      <c r="P35" s="89"/>
      <c r="R35" s="81"/>
      <c r="S35" s="90"/>
    </row>
    <row r="36" spans="1:19" ht="13.95" hidden="1" customHeight="1" x14ac:dyDescent="0.3">
      <c r="A36" s="83"/>
      <c r="B36" s="484" t="s">
        <v>36</v>
      </c>
      <c r="C36" s="485"/>
      <c r="D36" s="485"/>
      <c r="E36" s="485"/>
      <c r="F36" s="485"/>
      <c r="G36" s="486"/>
      <c r="H36" s="473">
        <f>VLOOKUP(B36,[1]TB!A$1:B$65536,2,0)</f>
        <v>5020309000</v>
      </c>
      <c r="I36" s="474"/>
      <c r="J36" s="475"/>
      <c r="K36" s="86"/>
      <c r="L36" s="87"/>
      <c r="M36" s="88"/>
      <c r="O36" s="81"/>
      <c r="P36" s="89"/>
      <c r="R36" s="81"/>
      <c r="S36" s="90"/>
    </row>
    <row r="37" spans="1:19" ht="13.95" hidden="1" customHeight="1" x14ac:dyDescent="0.3">
      <c r="A37" s="83"/>
      <c r="B37" s="484" t="s">
        <v>37</v>
      </c>
      <c r="C37" s="485"/>
      <c r="D37" s="485"/>
      <c r="E37" s="485"/>
      <c r="F37" s="485"/>
      <c r="G37" s="486"/>
      <c r="H37" s="473">
        <f>VLOOKUP(B37,[1]TB!A$1:B$65536,2,0)</f>
        <v>5020399000</v>
      </c>
      <c r="I37" s="474"/>
      <c r="J37" s="475"/>
      <c r="K37" s="86"/>
      <c r="L37" s="87"/>
      <c r="M37" s="88"/>
      <c r="O37" s="81"/>
      <c r="P37" s="89"/>
      <c r="R37" s="81"/>
      <c r="S37" s="90"/>
    </row>
    <row r="38" spans="1:19" ht="13.95" hidden="1" customHeight="1" x14ac:dyDescent="0.3">
      <c r="A38" s="83"/>
      <c r="B38" s="484" t="s">
        <v>38</v>
      </c>
      <c r="C38" s="485"/>
      <c r="D38" s="485"/>
      <c r="E38" s="485"/>
      <c r="F38" s="485"/>
      <c r="G38" s="486"/>
      <c r="H38" s="473">
        <f>VLOOKUP(B38,[1]TB!A$1:B$65536,2,0)</f>
        <v>5020402000</v>
      </c>
      <c r="I38" s="474"/>
      <c r="J38" s="475"/>
      <c r="K38" s="86"/>
      <c r="L38" s="87"/>
      <c r="M38" s="88"/>
      <c r="O38" s="81"/>
      <c r="P38" s="89"/>
      <c r="R38" s="81"/>
      <c r="S38" s="90"/>
    </row>
    <row r="39" spans="1:19" ht="13.95" hidden="1" customHeight="1" x14ac:dyDescent="0.3">
      <c r="A39" s="83"/>
      <c r="B39" s="484" t="s">
        <v>39</v>
      </c>
      <c r="C39" s="485"/>
      <c r="D39" s="485"/>
      <c r="E39" s="485"/>
      <c r="F39" s="485"/>
      <c r="G39" s="486"/>
      <c r="H39" s="473">
        <f>VLOOKUP(B39,[1]TB!A$1:B$65536,2,0)</f>
        <v>5020502000</v>
      </c>
      <c r="I39" s="474"/>
      <c r="J39" s="475"/>
      <c r="K39" s="86"/>
      <c r="L39" s="87"/>
      <c r="M39" s="88"/>
      <c r="O39" s="81"/>
      <c r="P39" s="89"/>
      <c r="R39" s="81"/>
      <c r="S39" s="90"/>
    </row>
    <row r="40" spans="1:19" ht="13.95" hidden="1" customHeight="1" x14ac:dyDescent="0.3">
      <c r="A40" s="83"/>
      <c r="B40" s="484" t="s">
        <v>40</v>
      </c>
      <c r="C40" s="485"/>
      <c r="D40" s="485"/>
      <c r="E40" s="485"/>
      <c r="F40" s="485"/>
      <c r="G40" s="486"/>
      <c r="H40" s="473">
        <f>VLOOKUP(B40,[1]TB!A$1:B$65536,2,0)</f>
        <v>5020503000</v>
      </c>
      <c r="I40" s="474"/>
      <c r="J40" s="475"/>
      <c r="K40" s="86"/>
      <c r="L40" s="87"/>
      <c r="M40" s="88"/>
      <c r="O40" s="81"/>
      <c r="P40" s="89"/>
      <c r="R40" s="81"/>
      <c r="S40" s="90"/>
    </row>
    <row r="41" spans="1:19" ht="13.95" hidden="1" customHeight="1" x14ac:dyDescent="0.3">
      <c r="A41" s="83"/>
      <c r="B41" s="484" t="s">
        <v>41</v>
      </c>
      <c r="C41" s="485"/>
      <c r="D41" s="485"/>
      <c r="E41" s="485"/>
      <c r="F41" s="485"/>
      <c r="G41" s="486"/>
      <c r="H41" s="473">
        <f>VLOOKUP(B41,[1]TB!A$1:B$65536,2,0)</f>
        <v>5021202000</v>
      </c>
      <c r="I41" s="474"/>
      <c r="J41" s="475"/>
      <c r="K41" s="86"/>
      <c r="L41" s="87"/>
      <c r="M41" s="88"/>
      <c r="O41" s="81"/>
      <c r="P41" s="89"/>
      <c r="R41" s="81"/>
      <c r="S41" s="90"/>
    </row>
    <row r="42" spans="1:19" ht="13.95" hidden="1" customHeight="1" x14ac:dyDescent="0.3">
      <c r="A42" s="83"/>
      <c r="B42" s="484" t="s">
        <v>42</v>
      </c>
      <c r="C42" s="485"/>
      <c r="D42" s="485"/>
      <c r="E42" s="485"/>
      <c r="F42" s="485"/>
      <c r="G42" s="486"/>
      <c r="H42" s="473">
        <f>VLOOKUP(B42,[1]TB!A$1:B$65536,2,0)</f>
        <v>5021203000</v>
      </c>
      <c r="I42" s="474"/>
      <c r="J42" s="475"/>
      <c r="K42" s="86"/>
      <c r="L42" s="87"/>
      <c r="M42" s="88"/>
      <c r="O42" s="81"/>
      <c r="P42" s="89"/>
      <c r="R42" s="81"/>
      <c r="S42" s="90"/>
    </row>
    <row r="43" spans="1:19" ht="13.95" hidden="1" customHeight="1" x14ac:dyDescent="0.3">
      <c r="A43" s="83"/>
      <c r="B43" s="484" t="s">
        <v>43</v>
      </c>
      <c r="C43" s="485"/>
      <c r="D43" s="485"/>
      <c r="E43" s="485"/>
      <c r="F43" s="485"/>
      <c r="G43" s="486"/>
      <c r="H43" s="473">
        <f>VLOOKUP(B43,[1]TB!A$1:B$65536,2,0)</f>
        <v>5021502000</v>
      </c>
      <c r="I43" s="474"/>
      <c r="J43" s="475"/>
      <c r="K43" s="86"/>
      <c r="L43" s="87"/>
      <c r="M43" s="88"/>
      <c r="O43" s="81"/>
      <c r="P43" s="89"/>
      <c r="R43" s="81"/>
      <c r="S43" s="90"/>
    </row>
    <row r="44" spans="1:19" ht="13.95" hidden="1" customHeight="1" x14ac:dyDescent="0.3">
      <c r="A44" s="83"/>
      <c r="B44" s="484" t="s">
        <v>44</v>
      </c>
      <c r="C44" s="485"/>
      <c r="D44" s="485"/>
      <c r="E44" s="485"/>
      <c r="F44" s="485"/>
      <c r="G44" s="486"/>
      <c r="H44" s="473">
        <f>VLOOKUP(B44,[1]TB!A$1:B$65536,2,0)</f>
        <v>5021303005</v>
      </c>
      <c r="I44" s="474"/>
      <c r="J44" s="475"/>
      <c r="K44" s="86"/>
      <c r="L44" s="87"/>
      <c r="M44" s="88"/>
      <c r="N44" s="2" t="s">
        <v>45</v>
      </c>
      <c r="O44" s="81"/>
      <c r="P44" s="89"/>
      <c r="R44" s="81"/>
      <c r="S44" s="90"/>
    </row>
    <row r="45" spans="1:19" ht="16.5" customHeight="1" x14ac:dyDescent="0.3">
      <c r="A45" s="83"/>
      <c r="B45" s="484" t="s">
        <v>37</v>
      </c>
      <c r="C45" s="485"/>
      <c r="D45" s="485"/>
      <c r="E45" s="485"/>
      <c r="F45" s="485"/>
      <c r="G45" s="486"/>
      <c r="H45" s="473">
        <f>VLOOKUP(B45,[1]TB!A$1:B$65536,2,0)</f>
        <v>5020399000</v>
      </c>
      <c r="I45" s="474"/>
      <c r="J45" s="475"/>
      <c r="K45" s="86"/>
      <c r="L45" s="87"/>
      <c r="M45" s="88"/>
      <c r="O45" s="81"/>
      <c r="P45" s="89"/>
      <c r="R45" s="81"/>
      <c r="S45" s="90"/>
    </row>
    <row r="46" spans="1:19" ht="16.5" customHeight="1" x14ac:dyDescent="0.3">
      <c r="A46" s="83"/>
      <c r="B46" s="484" t="s">
        <v>46</v>
      </c>
      <c r="C46" s="485"/>
      <c r="D46" s="485"/>
      <c r="E46" s="485"/>
      <c r="F46" s="485"/>
      <c r="G46" s="486"/>
      <c r="H46" s="473">
        <f>VLOOKUP(B46,[1]TB!A$1:B$65536,2,0)</f>
        <v>5021304099</v>
      </c>
      <c r="I46" s="474"/>
      <c r="J46" s="475"/>
      <c r="K46" s="86"/>
      <c r="L46" s="87"/>
      <c r="M46" s="88"/>
      <c r="O46" s="81"/>
      <c r="P46" s="89"/>
      <c r="R46" s="81"/>
      <c r="S46" s="90"/>
    </row>
    <row r="47" spans="1:19" ht="16.5" customHeight="1" x14ac:dyDescent="0.3">
      <c r="A47" s="83"/>
      <c r="B47" s="484" t="s">
        <v>47</v>
      </c>
      <c r="C47" s="485"/>
      <c r="D47" s="485"/>
      <c r="E47" s="485"/>
      <c r="F47" s="485"/>
      <c r="G47" s="486"/>
      <c r="H47" s="473">
        <f>VLOOKUP(B47,[1]TB!A$1:B$65536,2,0)</f>
        <v>5021601000</v>
      </c>
      <c r="I47" s="474"/>
      <c r="J47" s="475"/>
      <c r="K47" s="86"/>
      <c r="L47" s="87"/>
      <c r="M47" s="88"/>
      <c r="O47" s="81"/>
      <c r="P47" s="89"/>
      <c r="R47" s="81"/>
      <c r="S47" s="90"/>
    </row>
    <row r="48" spans="1:19" ht="16.5" customHeight="1" x14ac:dyDescent="0.3">
      <c r="A48" s="83"/>
      <c r="B48" s="91" t="s">
        <v>48</v>
      </c>
      <c r="C48" s="84"/>
      <c r="D48" s="84"/>
      <c r="E48" s="84"/>
      <c r="F48" s="84"/>
      <c r="G48" s="85"/>
      <c r="H48" s="473">
        <v>5020321002</v>
      </c>
      <c r="I48" s="474"/>
      <c r="J48" s="475"/>
      <c r="K48" s="86"/>
      <c r="L48" s="87"/>
      <c r="M48" s="88"/>
      <c r="O48" s="81"/>
      <c r="P48" s="89"/>
      <c r="R48" s="81"/>
      <c r="S48" s="90"/>
    </row>
    <row r="49" spans="1:19" ht="16.5" customHeight="1" x14ac:dyDescent="0.3">
      <c r="A49" s="83"/>
      <c r="B49" s="476" t="s">
        <v>49</v>
      </c>
      <c r="C49" s="477"/>
      <c r="D49" s="477"/>
      <c r="E49" s="477"/>
      <c r="F49" s="477"/>
      <c r="G49" s="478"/>
      <c r="H49" s="473">
        <f>VLOOKUP(B49,[1]TB!A$1:B$65536,2,0)</f>
        <v>2020101000</v>
      </c>
      <c r="I49" s="474"/>
      <c r="J49" s="475"/>
      <c r="K49" s="86"/>
      <c r="L49" s="92">
        <f>E22</f>
        <v>0</v>
      </c>
      <c r="M49" s="88"/>
      <c r="O49" s="81"/>
      <c r="P49" s="89"/>
      <c r="R49" s="81"/>
      <c r="S49" s="90"/>
    </row>
    <row r="50" spans="1:19" ht="16.5" customHeight="1" x14ac:dyDescent="0.3">
      <c r="A50" s="83"/>
      <c r="B50" s="476" t="s">
        <v>50</v>
      </c>
      <c r="C50" s="477"/>
      <c r="D50" s="477"/>
      <c r="E50" s="477"/>
      <c r="F50" s="477"/>
      <c r="G50" s="478"/>
      <c r="H50" s="473">
        <f>VLOOKUP(B50,[1]TB!A$1:B$65536,2,0)</f>
        <v>1990101000</v>
      </c>
      <c r="I50" s="474"/>
      <c r="J50" s="475"/>
      <c r="K50" s="86"/>
      <c r="L50" s="93">
        <f>E24</f>
        <v>0</v>
      </c>
      <c r="M50" s="88"/>
      <c r="N50" s="40"/>
      <c r="Q50" s="81">
        <f>SUM(L49:L49)</f>
        <v>0</v>
      </c>
      <c r="R50" s="94">
        <f>N50-Q50</f>
        <v>0</v>
      </c>
      <c r="S50" s="90"/>
    </row>
    <row r="51" spans="1:19" ht="16.5" customHeight="1" x14ac:dyDescent="0.3">
      <c r="A51" s="95"/>
      <c r="B51" s="96"/>
      <c r="C51" s="97"/>
      <c r="D51" s="97"/>
      <c r="E51" s="97"/>
      <c r="F51" s="97"/>
      <c r="G51" s="98"/>
      <c r="H51" s="99"/>
      <c r="I51" s="98"/>
      <c r="J51" s="100"/>
      <c r="K51" s="101">
        <f>SUM(K33:K50)</f>
        <v>0</v>
      </c>
      <c r="L51" s="102">
        <f>SUM(L49:L50)</f>
        <v>0</v>
      </c>
      <c r="M51" s="103"/>
      <c r="O51" s="81"/>
      <c r="P51" s="89"/>
      <c r="R51" s="81"/>
    </row>
    <row r="52" spans="1:19" x14ac:dyDescent="0.3">
      <c r="A52" s="104" t="s">
        <v>51</v>
      </c>
      <c r="B52" s="105"/>
      <c r="C52" s="105"/>
      <c r="D52" s="105"/>
      <c r="E52" s="105"/>
      <c r="F52" s="106"/>
      <c r="G52" s="107" t="s">
        <v>52</v>
      </c>
      <c r="H52" s="105"/>
      <c r="I52" s="105"/>
      <c r="J52" s="105"/>
      <c r="K52" s="108"/>
      <c r="L52" s="109"/>
      <c r="M52" s="6"/>
    </row>
    <row r="53" spans="1:19" x14ac:dyDescent="0.3">
      <c r="A53" s="110"/>
      <c r="B53" s="111"/>
      <c r="C53" s="15" t="s">
        <v>53</v>
      </c>
      <c r="D53" s="112"/>
      <c r="E53" s="112"/>
      <c r="F53" s="113"/>
      <c r="G53" s="114"/>
      <c r="H53" s="6"/>
      <c r="I53" s="6"/>
      <c r="J53" s="6"/>
      <c r="K53" s="6"/>
      <c r="L53" s="115"/>
      <c r="M53" s="6"/>
    </row>
    <row r="54" spans="1:19" ht="5.4" customHeight="1" x14ac:dyDescent="0.3">
      <c r="A54" s="110"/>
      <c r="B54" s="112"/>
      <c r="C54" s="15"/>
      <c r="D54" s="112"/>
      <c r="E54" s="112"/>
      <c r="F54" s="113"/>
      <c r="G54" s="114"/>
      <c r="H54" s="6"/>
      <c r="I54" s="6"/>
      <c r="J54" s="6"/>
      <c r="K54" s="6"/>
      <c r="L54" s="115"/>
      <c r="M54" s="6"/>
    </row>
    <row r="55" spans="1:19" x14ac:dyDescent="0.3">
      <c r="A55" s="110"/>
      <c r="B55" s="116"/>
      <c r="C55" s="15" t="s">
        <v>54</v>
      </c>
      <c r="D55" s="112"/>
      <c r="E55" s="112"/>
      <c r="F55" s="113"/>
      <c r="G55" s="114"/>
      <c r="H55" s="6"/>
      <c r="I55" s="6"/>
      <c r="J55" s="6"/>
      <c r="K55" s="6"/>
      <c r="L55" s="115"/>
      <c r="M55" s="6"/>
    </row>
    <row r="56" spans="1:19" ht="5.4" customHeight="1" x14ac:dyDescent="0.3">
      <c r="A56" s="110"/>
      <c r="B56" s="112"/>
      <c r="C56" s="15"/>
      <c r="D56" s="112"/>
      <c r="E56" s="112"/>
      <c r="F56" s="113"/>
      <c r="G56" s="114"/>
      <c r="H56" s="6"/>
      <c r="I56" s="6"/>
      <c r="J56" s="6"/>
      <c r="K56" s="6"/>
      <c r="L56" s="115"/>
      <c r="M56" s="6"/>
    </row>
    <row r="57" spans="1:19" x14ac:dyDescent="0.3">
      <c r="A57" s="110"/>
      <c r="B57" s="111"/>
      <c r="C57" s="15" t="s">
        <v>55</v>
      </c>
      <c r="D57" s="112"/>
      <c r="E57" s="112"/>
      <c r="F57" s="113"/>
      <c r="G57" s="114"/>
      <c r="H57" s="6"/>
      <c r="I57" s="6"/>
      <c r="J57" s="6"/>
      <c r="K57" s="6"/>
      <c r="L57" s="115"/>
      <c r="M57" s="6"/>
    </row>
    <row r="58" spans="1:19" ht="9.6" customHeight="1" x14ac:dyDescent="0.3">
      <c r="A58" s="110"/>
      <c r="B58" s="112"/>
      <c r="C58" s="112"/>
      <c r="D58" s="112"/>
      <c r="E58" s="112"/>
      <c r="F58" s="113"/>
      <c r="G58" s="114"/>
      <c r="H58" s="6"/>
      <c r="I58" s="6"/>
      <c r="J58" s="6"/>
      <c r="K58" s="6"/>
      <c r="L58" s="115"/>
      <c r="M58" s="6"/>
    </row>
    <row r="59" spans="1:19" x14ac:dyDescent="0.3">
      <c r="A59" s="117" t="s">
        <v>56</v>
      </c>
      <c r="B59" s="118"/>
      <c r="C59" s="119"/>
      <c r="D59" s="119"/>
      <c r="E59" s="119"/>
      <c r="F59" s="120"/>
      <c r="G59" s="121" t="s">
        <v>57</v>
      </c>
      <c r="H59" s="122"/>
      <c r="I59" s="119"/>
      <c r="J59" s="119"/>
      <c r="K59" s="119"/>
      <c r="L59" s="123"/>
      <c r="M59" s="124"/>
    </row>
    <row r="60" spans="1:19" s="128" customFormat="1" ht="16.95" customHeight="1" x14ac:dyDescent="0.3">
      <c r="A60" s="125" t="s">
        <v>58</v>
      </c>
      <c r="B60" s="479" t="s">
        <v>59</v>
      </c>
      <c r="C60" s="480"/>
      <c r="D60" s="480"/>
      <c r="E60" s="480"/>
      <c r="F60" s="481"/>
      <c r="G60" s="126" t="s">
        <v>60</v>
      </c>
      <c r="H60" s="127"/>
      <c r="I60" s="479" t="s">
        <v>25</v>
      </c>
      <c r="J60" s="482"/>
      <c r="K60" s="482"/>
      <c r="L60" s="483"/>
    </row>
    <row r="61" spans="1:19" s="128" customFormat="1" ht="16.95" customHeight="1" x14ac:dyDescent="0.3">
      <c r="A61" s="117" t="s">
        <v>61</v>
      </c>
      <c r="B61" s="457" t="s">
        <v>62</v>
      </c>
      <c r="C61" s="458"/>
      <c r="D61" s="458"/>
      <c r="E61" s="458"/>
      <c r="F61" s="459"/>
      <c r="G61" s="126" t="s">
        <v>63</v>
      </c>
      <c r="H61" s="127"/>
      <c r="I61" s="460" t="s">
        <v>64</v>
      </c>
      <c r="J61" s="461"/>
      <c r="K61" s="461"/>
      <c r="L61" s="462"/>
      <c r="M61" s="129"/>
    </row>
    <row r="62" spans="1:19" s="128" customFormat="1" ht="16.95" customHeight="1" x14ac:dyDescent="0.3">
      <c r="A62" s="130" t="s">
        <v>65</v>
      </c>
      <c r="B62" s="463" t="str">
        <f>I62</f>
        <v>Date: /       /</v>
      </c>
      <c r="C62" s="464"/>
      <c r="D62" s="464"/>
      <c r="E62" s="464"/>
      <c r="F62" s="465"/>
      <c r="G62" s="131" t="s">
        <v>66</v>
      </c>
      <c r="H62" s="127"/>
      <c r="I62" s="466" t="str">
        <f>K7</f>
        <v>Date: /       /</v>
      </c>
      <c r="J62" s="467"/>
      <c r="K62" s="467"/>
      <c r="L62" s="468"/>
      <c r="M62" s="132"/>
    </row>
    <row r="63" spans="1:19" x14ac:dyDescent="0.3">
      <c r="A63" s="104" t="s">
        <v>67</v>
      </c>
      <c r="B63" s="105"/>
      <c r="C63" s="105"/>
      <c r="D63" s="105"/>
      <c r="E63" s="105"/>
      <c r="F63" s="105"/>
      <c r="G63" s="105"/>
      <c r="H63" s="105"/>
      <c r="I63" s="105"/>
      <c r="J63" s="133"/>
      <c r="K63" s="134"/>
      <c r="L63" s="135"/>
      <c r="M63" s="136"/>
    </row>
    <row r="64" spans="1:19" ht="13.95" customHeight="1" x14ac:dyDescent="0.3">
      <c r="A64" s="137"/>
      <c r="B64" s="138"/>
      <c r="C64" s="138"/>
      <c r="D64" s="138"/>
      <c r="E64" s="139"/>
      <c r="F64" s="139"/>
      <c r="G64" s="138"/>
      <c r="H64" s="138"/>
      <c r="I64" s="138"/>
      <c r="J64" s="140"/>
      <c r="K64" s="7" t="s">
        <v>68</v>
      </c>
      <c r="L64" s="141" t="s">
        <v>74</v>
      </c>
      <c r="M64" s="6"/>
    </row>
    <row r="65" spans="1:13" ht="18" customHeight="1" x14ac:dyDescent="0.3">
      <c r="A65" s="95" t="s">
        <v>69</v>
      </c>
      <c r="B65" s="142"/>
      <c r="C65" s="143"/>
      <c r="D65" s="144"/>
      <c r="E65" s="145" t="s">
        <v>70</v>
      </c>
      <c r="F65" s="146"/>
      <c r="G65" s="146"/>
      <c r="H65" s="146"/>
      <c r="I65" s="146"/>
      <c r="J65" s="147"/>
      <c r="K65" s="7"/>
      <c r="L65" s="148"/>
    </row>
    <row r="66" spans="1:13" ht="18" customHeight="1" x14ac:dyDescent="0.3">
      <c r="A66" s="18" t="s">
        <v>71</v>
      </c>
      <c r="B66" s="149"/>
      <c r="C66" s="150"/>
      <c r="D66" s="193" t="str">
        <f>B62</f>
        <v>Date: /       /</v>
      </c>
      <c r="E66" s="151" t="s">
        <v>72</v>
      </c>
      <c r="F66" s="152"/>
      <c r="G66" s="469">
        <f>B11</f>
        <v>0</v>
      </c>
      <c r="H66" s="469"/>
      <c r="I66" s="469"/>
      <c r="J66" s="470"/>
      <c r="K66" s="153" t="str">
        <f>I62</f>
        <v>Date: /       /</v>
      </c>
      <c r="L66" s="154"/>
    </row>
    <row r="67" spans="1:13" ht="18" customHeight="1" thickBot="1" x14ac:dyDescent="0.35">
      <c r="A67" s="155" t="s">
        <v>73</v>
      </c>
      <c r="B67" s="156"/>
      <c r="C67" s="156"/>
      <c r="D67" s="471"/>
      <c r="E67" s="471"/>
      <c r="F67" s="471"/>
      <c r="G67" s="471"/>
      <c r="H67" s="471"/>
      <c r="I67" s="471"/>
      <c r="J67" s="472"/>
      <c r="K67" s="157"/>
      <c r="L67" s="158"/>
    </row>
    <row r="69" spans="1:13" x14ac:dyDescent="0.3">
      <c r="M69" s="34"/>
    </row>
    <row r="70" spans="1:13" x14ac:dyDescent="0.3">
      <c r="A70" s="159"/>
      <c r="M70" s="34"/>
    </row>
    <row r="71" spans="1:13" x14ac:dyDescent="0.3">
      <c r="M71" s="34"/>
    </row>
    <row r="72" spans="1:13" x14ac:dyDescent="0.3">
      <c r="A72" s="160"/>
      <c r="M72" s="34"/>
    </row>
    <row r="73" spans="1:13" x14ac:dyDescent="0.3">
      <c r="A73" s="161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34"/>
    </row>
    <row r="74" spans="1:13" x14ac:dyDescent="0.3">
      <c r="A74" s="162"/>
      <c r="B74" s="78"/>
      <c r="C74" s="78"/>
      <c r="D74" s="78"/>
      <c r="E74" s="78"/>
      <c r="F74" s="78"/>
      <c r="G74" s="78"/>
      <c r="H74" s="78"/>
      <c r="I74" s="78"/>
      <c r="J74" s="52"/>
      <c r="M74" s="34"/>
    </row>
    <row r="75" spans="1:13" ht="14.4" x14ac:dyDescent="0.3">
      <c r="A75" s="163"/>
      <c r="B75" s="164"/>
      <c r="C75" s="165"/>
      <c r="D75" s="166"/>
      <c r="E75" s="166"/>
      <c r="F75" s="128"/>
      <c r="G75" s="128"/>
      <c r="H75" s="128"/>
      <c r="I75" s="167"/>
      <c r="K75" s="34"/>
      <c r="L75" s="34"/>
      <c r="M75" s="34"/>
    </row>
    <row r="76" spans="1:13" ht="14.4" x14ac:dyDescent="0.3">
      <c r="A76" s="168"/>
      <c r="B76" s="169"/>
      <c r="C76" s="165"/>
      <c r="D76" s="170"/>
      <c r="E76" s="128"/>
      <c r="F76" s="128"/>
      <c r="G76" s="128"/>
      <c r="H76" s="128"/>
      <c r="I76" s="167"/>
      <c r="J76" s="6"/>
      <c r="K76" s="34"/>
      <c r="L76" s="34"/>
      <c r="M76" s="74"/>
    </row>
    <row r="77" spans="1:13" ht="14.4" x14ac:dyDescent="0.3">
      <c r="A77" s="160"/>
      <c r="B77" s="169"/>
      <c r="C77" s="165"/>
      <c r="D77" s="170"/>
      <c r="E77" s="128"/>
      <c r="F77" s="128"/>
      <c r="G77" s="128"/>
      <c r="H77" s="128"/>
      <c r="I77" s="167"/>
      <c r="J77" s="6"/>
      <c r="K77" s="34"/>
      <c r="L77" s="34"/>
      <c r="M77" s="6"/>
    </row>
    <row r="78" spans="1:13" ht="14.4" x14ac:dyDescent="0.3">
      <c r="B78" s="169"/>
      <c r="C78" s="128"/>
      <c r="D78" s="170"/>
      <c r="E78" s="128"/>
      <c r="F78" s="128"/>
      <c r="G78" s="128"/>
      <c r="H78" s="128"/>
      <c r="I78" s="167"/>
      <c r="K78" s="34"/>
      <c r="L78" s="34"/>
      <c r="M78" s="6"/>
    </row>
    <row r="79" spans="1:13" ht="14.4" x14ac:dyDescent="0.3">
      <c r="A79" s="6"/>
      <c r="B79" s="169"/>
      <c r="C79" s="128"/>
      <c r="D79" s="128"/>
      <c r="E79" s="128"/>
      <c r="F79" s="128"/>
      <c r="G79" s="128"/>
      <c r="H79" s="128"/>
      <c r="I79" s="167"/>
      <c r="K79" s="34"/>
      <c r="L79" s="34"/>
      <c r="M79" s="6"/>
    </row>
    <row r="80" spans="1:13" x14ac:dyDescent="0.3">
      <c r="A80" s="6"/>
      <c r="B80" s="40"/>
      <c r="C80" s="160"/>
      <c r="D80" s="40"/>
      <c r="K80" s="34"/>
      <c r="L80" s="34"/>
      <c r="M80" s="6"/>
    </row>
    <row r="81" spans="1:13" x14ac:dyDescent="0.3">
      <c r="B81" s="171"/>
      <c r="C81" s="160"/>
      <c r="D81" s="40"/>
      <c r="E81" s="172"/>
      <c r="K81" s="34"/>
      <c r="L81" s="34"/>
      <c r="M81" s="124"/>
    </row>
    <row r="82" spans="1:13" x14ac:dyDescent="0.3">
      <c r="B82" s="6"/>
      <c r="C82" s="6"/>
      <c r="D82" s="6"/>
      <c r="E82" s="6"/>
      <c r="F82" s="6"/>
      <c r="G82" s="76"/>
      <c r="H82" s="76"/>
      <c r="I82" s="76"/>
      <c r="J82" s="76"/>
      <c r="K82" s="74"/>
      <c r="L82" s="74"/>
      <c r="M82" s="173"/>
    </row>
    <row r="83" spans="1:13" x14ac:dyDescent="0.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173"/>
    </row>
    <row r="84" spans="1:13" x14ac:dyDescent="0.3">
      <c r="A84" s="124"/>
      <c r="B84" s="124"/>
      <c r="C84" s="124"/>
      <c r="D84" s="124"/>
      <c r="E84" s="124"/>
      <c r="F84" s="124"/>
      <c r="G84" s="6"/>
      <c r="H84" s="6"/>
      <c r="I84" s="6"/>
      <c r="J84" s="6"/>
      <c r="K84" s="6"/>
      <c r="L84" s="6"/>
      <c r="M84" s="174"/>
    </row>
    <row r="85" spans="1:13" x14ac:dyDescent="0.3">
      <c r="A85" s="124"/>
      <c r="B85" s="124"/>
      <c r="C85" s="124"/>
      <c r="D85" s="124"/>
      <c r="E85" s="124"/>
      <c r="F85" s="124"/>
      <c r="G85" s="6"/>
      <c r="H85" s="6"/>
      <c r="I85" s="6"/>
      <c r="J85" s="6"/>
      <c r="K85" s="6"/>
      <c r="L85" s="6"/>
      <c r="M85" s="136"/>
    </row>
    <row r="86" spans="1:13" x14ac:dyDescent="0.3">
      <c r="A86" s="124"/>
      <c r="B86" s="124"/>
      <c r="C86" s="124"/>
      <c r="D86" s="124"/>
      <c r="E86" s="124"/>
      <c r="F86" s="124"/>
      <c r="G86" s="6"/>
      <c r="H86" s="6"/>
      <c r="I86" s="6"/>
      <c r="J86" s="6"/>
      <c r="K86" s="6"/>
      <c r="L86" s="6"/>
      <c r="M86" s="6"/>
    </row>
    <row r="87" spans="1:13" x14ac:dyDescent="0.3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</row>
    <row r="88" spans="1:13" x14ac:dyDescent="0.3">
      <c r="A88" s="6"/>
      <c r="B88" s="124"/>
      <c r="C88" s="124"/>
      <c r="D88" s="124"/>
      <c r="E88" s="124"/>
      <c r="F88" s="124"/>
      <c r="G88" s="175"/>
      <c r="H88" s="175"/>
      <c r="I88" s="175"/>
      <c r="J88" s="173"/>
      <c r="K88" s="173"/>
      <c r="L88" s="173"/>
    </row>
    <row r="89" spans="1:13" x14ac:dyDescent="0.3">
      <c r="A89" s="6"/>
      <c r="B89" s="124"/>
      <c r="C89" s="124"/>
      <c r="D89" s="124"/>
      <c r="E89" s="124"/>
      <c r="F89" s="124"/>
      <c r="G89" s="175"/>
      <c r="H89" s="175"/>
      <c r="I89" s="175"/>
      <c r="J89" s="173"/>
      <c r="K89" s="173"/>
      <c r="L89" s="173"/>
      <c r="M89" s="6"/>
    </row>
    <row r="90" spans="1:13" x14ac:dyDescent="0.3">
      <c r="A90" s="124"/>
      <c r="B90" s="124"/>
      <c r="C90" s="124"/>
      <c r="D90" s="124"/>
      <c r="E90" s="124"/>
      <c r="F90" s="124"/>
      <c r="G90" s="174"/>
      <c r="H90" s="174"/>
      <c r="I90" s="174"/>
      <c r="J90" s="174"/>
      <c r="K90" s="174"/>
      <c r="L90" s="174"/>
      <c r="M90" s="6"/>
    </row>
    <row r="91" spans="1:13" x14ac:dyDescent="0.3">
      <c r="A91" s="6"/>
      <c r="B91" s="6"/>
      <c r="C91" s="6"/>
      <c r="D91" s="6"/>
      <c r="E91" s="6"/>
      <c r="F91" s="6"/>
      <c r="G91" s="6"/>
      <c r="H91" s="6"/>
      <c r="I91" s="6"/>
      <c r="J91" s="136"/>
      <c r="K91" s="136"/>
      <c r="L91" s="136"/>
      <c r="M91" s="6"/>
    </row>
    <row r="92" spans="1:13" x14ac:dyDescent="0.3">
      <c r="A92" s="124"/>
      <c r="B92" s="6"/>
      <c r="C92" s="6"/>
      <c r="D92" s="6"/>
      <c r="E92" s="112"/>
      <c r="F92" s="112"/>
      <c r="J92" s="6"/>
      <c r="K92" s="6"/>
      <c r="L92" s="6"/>
      <c r="M92" s="6"/>
    </row>
    <row r="93" spans="1:13" x14ac:dyDescent="0.3">
      <c r="A93" s="6"/>
      <c r="B93" s="124"/>
      <c r="C93" s="124"/>
      <c r="D93" s="124"/>
      <c r="E93" s="112"/>
      <c r="F93" s="112"/>
      <c r="M93" s="6"/>
    </row>
    <row r="94" spans="1:13" x14ac:dyDescent="0.3">
      <c r="A94" s="76"/>
      <c r="B94" s="6"/>
      <c r="C94" s="6"/>
      <c r="D94" s="6"/>
      <c r="E94" s="112"/>
      <c r="F94" s="112"/>
    </row>
    <row r="95" spans="1:13" x14ac:dyDescent="0.3">
      <c r="A95" s="176"/>
      <c r="B95" s="124"/>
      <c r="C95" s="124"/>
      <c r="D95" s="124"/>
      <c r="E95" s="112"/>
      <c r="F95" s="112"/>
      <c r="J95" s="6"/>
      <c r="K95" s="6"/>
      <c r="L95" s="6"/>
    </row>
    <row r="96" spans="1:13" x14ac:dyDescent="0.3">
      <c r="A96" s="176"/>
      <c r="B96" s="6"/>
      <c r="C96" s="6"/>
      <c r="D96" s="6"/>
      <c r="E96" s="112"/>
      <c r="F96" s="112"/>
      <c r="J96" s="6"/>
      <c r="K96" s="6"/>
      <c r="L96" s="6"/>
      <c r="M96" s="159"/>
    </row>
    <row r="97" spans="1:13" x14ac:dyDescent="0.3">
      <c r="B97" s="76"/>
      <c r="C97" s="76"/>
      <c r="D97" s="76"/>
      <c r="E97" s="76"/>
      <c r="F97" s="76"/>
      <c r="G97" s="76"/>
      <c r="H97" s="76"/>
      <c r="I97" s="76"/>
      <c r="K97" s="6"/>
      <c r="L97" s="6"/>
      <c r="M97" s="13"/>
    </row>
    <row r="98" spans="1:13" x14ac:dyDescent="0.3">
      <c r="A98" s="6"/>
      <c r="B98" s="176"/>
      <c r="C98" s="176"/>
      <c r="D98" s="176"/>
      <c r="E98" s="176"/>
      <c r="F98" s="176"/>
      <c r="G98" s="176"/>
      <c r="H98" s="176"/>
      <c r="I98" s="176"/>
      <c r="K98" s="177"/>
      <c r="L98" s="6"/>
      <c r="M98" s="13"/>
    </row>
    <row r="99" spans="1:13" x14ac:dyDescent="0.3">
      <c r="A99" s="159"/>
      <c r="B99" s="176"/>
      <c r="C99" s="176"/>
      <c r="D99" s="176"/>
      <c r="E99" s="176"/>
      <c r="F99" s="176"/>
      <c r="G99" s="176"/>
      <c r="H99" s="176"/>
      <c r="I99" s="176"/>
      <c r="J99" s="6"/>
      <c r="K99" s="6"/>
      <c r="L99" s="6"/>
      <c r="M99" s="112"/>
    </row>
    <row r="100" spans="1:13" x14ac:dyDescent="0.3">
      <c r="A100" s="136"/>
      <c r="M100" s="178"/>
    </row>
    <row r="101" spans="1:13" x14ac:dyDescent="0.3">
      <c r="A101" s="136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178"/>
    </row>
    <row r="102" spans="1:13" x14ac:dyDescent="0.3">
      <c r="A102" s="52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12"/>
    </row>
    <row r="103" spans="1:13" x14ac:dyDescent="0.3">
      <c r="A103" s="52"/>
      <c r="B103" s="13"/>
      <c r="C103" s="13"/>
      <c r="D103" s="13"/>
      <c r="E103" s="13"/>
      <c r="F103" s="13"/>
      <c r="G103" s="13"/>
      <c r="H103" s="76"/>
      <c r="I103" s="76"/>
      <c r="J103" s="13"/>
      <c r="K103" s="13"/>
      <c r="L103" s="13"/>
      <c r="M103" s="112"/>
    </row>
    <row r="104" spans="1:13" x14ac:dyDescent="0.3">
      <c r="A104" s="52"/>
      <c r="B104" s="13"/>
      <c r="C104" s="13"/>
      <c r="D104" s="13"/>
      <c r="E104" s="13"/>
      <c r="F104" s="13"/>
      <c r="G104" s="13"/>
      <c r="H104" s="76"/>
      <c r="I104" s="76"/>
      <c r="J104" s="13"/>
      <c r="K104" s="13"/>
      <c r="L104" s="13"/>
      <c r="M104" s="112"/>
    </row>
    <row r="105" spans="1:13" x14ac:dyDescent="0.3">
      <c r="B105" s="6"/>
      <c r="C105" s="6"/>
      <c r="D105" s="6"/>
      <c r="E105" s="6"/>
      <c r="F105" s="6"/>
      <c r="G105" s="6"/>
      <c r="H105" s="76"/>
      <c r="I105" s="76"/>
      <c r="K105" s="178"/>
      <c r="L105" s="112"/>
      <c r="M105" s="112"/>
    </row>
    <row r="106" spans="1:13" x14ac:dyDescent="0.3">
      <c r="B106" s="6"/>
      <c r="C106" s="6"/>
      <c r="D106" s="6"/>
      <c r="E106" s="6"/>
      <c r="F106" s="6"/>
      <c r="G106" s="6"/>
      <c r="H106" s="76"/>
      <c r="I106" s="76"/>
      <c r="K106" s="178"/>
      <c r="L106" s="178"/>
      <c r="M106" s="112"/>
    </row>
    <row r="107" spans="1:13" x14ac:dyDescent="0.3">
      <c r="B107" s="6"/>
      <c r="C107" s="6"/>
      <c r="D107" s="6"/>
      <c r="E107" s="6"/>
      <c r="F107" s="6"/>
      <c r="G107" s="6"/>
      <c r="H107" s="76"/>
      <c r="I107" s="76"/>
      <c r="K107" s="112"/>
      <c r="L107" s="178"/>
      <c r="M107" s="112"/>
    </row>
    <row r="108" spans="1:13" x14ac:dyDescent="0.3">
      <c r="B108" s="6"/>
      <c r="C108" s="6"/>
      <c r="D108" s="6"/>
      <c r="E108" s="6"/>
      <c r="F108" s="6"/>
      <c r="G108" s="6"/>
      <c r="H108" s="6"/>
      <c r="I108" s="6"/>
      <c r="K108" s="112"/>
      <c r="L108" s="112"/>
      <c r="M108" s="178"/>
    </row>
    <row r="109" spans="1:13" x14ac:dyDescent="0.3">
      <c r="B109" s="6"/>
      <c r="C109" s="6"/>
      <c r="D109" s="6"/>
      <c r="E109" s="6"/>
      <c r="F109" s="6"/>
      <c r="G109" s="6"/>
      <c r="H109" s="6"/>
      <c r="I109" s="6"/>
      <c r="K109" s="112"/>
      <c r="L109" s="112"/>
      <c r="M109" s="76"/>
    </row>
    <row r="110" spans="1:13" x14ac:dyDescent="0.3">
      <c r="B110" s="6"/>
      <c r="C110" s="6"/>
      <c r="D110" s="6"/>
      <c r="E110" s="6"/>
      <c r="F110" s="6"/>
      <c r="G110" s="6"/>
      <c r="H110" s="6"/>
      <c r="I110" s="6"/>
      <c r="K110" s="112"/>
      <c r="L110" s="112"/>
      <c r="M110" s="159"/>
    </row>
    <row r="111" spans="1:13" x14ac:dyDescent="0.3">
      <c r="B111" s="6"/>
      <c r="C111" s="6"/>
      <c r="D111" s="6"/>
      <c r="E111" s="6"/>
      <c r="F111" s="6"/>
      <c r="G111" s="6"/>
      <c r="H111" s="6"/>
      <c r="I111" s="6"/>
      <c r="K111" s="112"/>
      <c r="L111" s="112"/>
    </row>
    <row r="112" spans="1:13" x14ac:dyDescent="0.3">
      <c r="B112" s="6"/>
      <c r="C112" s="6"/>
      <c r="D112" s="6"/>
      <c r="E112" s="6"/>
      <c r="F112" s="6"/>
      <c r="G112" s="6"/>
      <c r="H112" s="6"/>
      <c r="I112" s="6"/>
      <c r="K112" s="112"/>
      <c r="L112" s="112"/>
      <c r="M112" s="6"/>
    </row>
    <row r="113" spans="1:13" x14ac:dyDescent="0.3">
      <c r="A113" s="159"/>
      <c r="B113" s="6"/>
      <c r="C113" s="6"/>
      <c r="D113" s="6"/>
      <c r="E113" s="6"/>
      <c r="F113" s="6"/>
      <c r="G113" s="6"/>
      <c r="H113" s="6"/>
      <c r="I113" s="6"/>
      <c r="K113" s="112"/>
      <c r="L113" s="112"/>
      <c r="M113" s="6"/>
    </row>
    <row r="114" spans="1:13" x14ac:dyDescent="0.3">
      <c r="B114" s="6"/>
      <c r="C114" s="6"/>
      <c r="D114" s="6"/>
      <c r="E114" s="6"/>
      <c r="F114" s="6"/>
      <c r="G114" s="6"/>
      <c r="H114" s="6"/>
      <c r="I114" s="6"/>
      <c r="K114" s="178"/>
      <c r="L114" s="178"/>
      <c r="M114" s="6"/>
    </row>
    <row r="115" spans="1:13" x14ac:dyDescent="0.3">
      <c r="A115" s="179"/>
      <c r="B115" s="6"/>
      <c r="C115" s="6"/>
      <c r="D115" s="6"/>
      <c r="E115" s="6"/>
      <c r="F115" s="6"/>
      <c r="G115" s="6"/>
      <c r="J115" s="76"/>
      <c r="K115" s="76"/>
      <c r="L115" s="76"/>
      <c r="M115" s="76"/>
    </row>
    <row r="116" spans="1:13" x14ac:dyDescent="0.3"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6"/>
    </row>
    <row r="117" spans="1:13" ht="23.4" x14ac:dyDescent="0.45">
      <c r="A117" s="52"/>
      <c r="B117" s="78"/>
      <c r="C117" s="78"/>
      <c r="D117" s="78"/>
      <c r="E117" s="78"/>
      <c r="F117" s="78"/>
      <c r="G117" s="78"/>
      <c r="H117" s="78"/>
      <c r="I117" s="78"/>
      <c r="J117" s="52"/>
      <c r="M117" s="28"/>
    </row>
    <row r="118" spans="1:13" x14ac:dyDescent="0.3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13"/>
    </row>
    <row r="119" spans="1:13" ht="13.95" customHeight="1" x14ac:dyDescent="0.3">
      <c r="B119" s="3"/>
      <c r="C119" s="3"/>
      <c r="D119" s="3"/>
      <c r="E119" s="3"/>
      <c r="K119" s="6"/>
      <c r="L119" s="6"/>
      <c r="M119" s="13"/>
    </row>
    <row r="120" spans="1:13" ht="13.95" customHeight="1" x14ac:dyDescent="0.3">
      <c r="A120" s="52"/>
      <c r="B120" s="3"/>
      <c r="C120" s="3"/>
      <c r="D120" s="3"/>
      <c r="E120" s="3"/>
      <c r="F120" s="52"/>
      <c r="G120" s="52"/>
      <c r="H120" s="52"/>
      <c r="I120" s="52"/>
      <c r="J120" s="52"/>
      <c r="K120" s="6"/>
      <c r="L120" s="6"/>
      <c r="M120" s="34"/>
    </row>
    <row r="121" spans="1:13" x14ac:dyDescent="0.3">
      <c r="A121" s="13"/>
      <c r="B121" s="159"/>
      <c r="C121" s="159"/>
      <c r="D121" s="159"/>
      <c r="E121" s="159"/>
      <c r="F121" s="76"/>
      <c r="G121" s="76"/>
      <c r="H121" s="76"/>
      <c r="I121" s="76"/>
      <c r="J121" s="76"/>
      <c r="K121" s="76"/>
      <c r="L121" s="76"/>
      <c r="M121" s="34"/>
    </row>
    <row r="122" spans="1:13" x14ac:dyDescent="0.3">
      <c r="A122" s="13"/>
      <c r="K122" s="6"/>
      <c r="L122" s="6"/>
      <c r="M122" s="74"/>
    </row>
    <row r="123" spans="1:13" ht="23.4" x14ac:dyDescent="0.45">
      <c r="A123" s="6"/>
      <c r="B123" s="52"/>
      <c r="C123" s="52"/>
      <c r="D123" s="52"/>
      <c r="E123" s="52"/>
      <c r="F123" s="180"/>
      <c r="G123" s="180"/>
      <c r="H123" s="180"/>
      <c r="I123" s="180"/>
      <c r="J123" s="180"/>
      <c r="K123" s="181"/>
      <c r="L123" s="28"/>
      <c r="M123" s="34"/>
    </row>
    <row r="124" spans="1:13" x14ac:dyDescent="0.3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74"/>
    </row>
    <row r="125" spans="1:13" x14ac:dyDescent="0.3">
      <c r="A125" s="1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34"/>
    </row>
    <row r="126" spans="1:13" x14ac:dyDescent="0.3">
      <c r="B126" s="6"/>
      <c r="C126" s="6"/>
      <c r="D126" s="6"/>
      <c r="E126" s="6"/>
      <c r="F126" s="6"/>
      <c r="G126" s="6"/>
      <c r="H126" s="6"/>
      <c r="I126" s="6"/>
      <c r="J126" s="6"/>
      <c r="K126" s="34"/>
      <c r="L126" s="34"/>
      <c r="M126" s="34"/>
    </row>
    <row r="127" spans="1:13" x14ac:dyDescent="0.3">
      <c r="A127" s="182"/>
      <c r="K127" s="34"/>
      <c r="L127" s="34"/>
      <c r="M127" s="34"/>
    </row>
    <row r="128" spans="1:13" x14ac:dyDescent="0.3">
      <c r="A128" s="182"/>
      <c r="B128" s="182"/>
      <c r="C128" s="183"/>
      <c r="D128" s="184"/>
      <c r="E128" s="184"/>
      <c r="K128" s="74"/>
      <c r="L128" s="74"/>
      <c r="M128" s="34"/>
    </row>
    <row r="129" spans="1:13" x14ac:dyDescent="0.3">
      <c r="A129" s="182"/>
      <c r="B129" s="185"/>
      <c r="C129" s="184"/>
      <c r="D129" s="186"/>
      <c r="E129" s="184"/>
      <c r="F129" s="184"/>
      <c r="G129" s="184"/>
      <c r="H129" s="184"/>
      <c r="I129" s="187"/>
      <c r="K129" s="34"/>
      <c r="L129" s="34"/>
      <c r="M129" s="34"/>
    </row>
    <row r="130" spans="1:13" x14ac:dyDescent="0.3">
      <c r="A130" s="160"/>
      <c r="B130" s="182"/>
      <c r="C130" s="183"/>
      <c r="D130" s="188"/>
      <c r="E130" s="188"/>
      <c r="I130" s="189"/>
      <c r="K130" s="74"/>
      <c r="L130" s="74"/>
      <c r="M130" s="34"/>
    </row>
    <row r="131" spans="1:13" x14ac:dyDescent="0.3">
      <c r="A131" s="161"/>
      <c r="B131" s="185"/>
      <c r="C131" s="184"/>
      <c r="D131" s="184"/>
      <c r="E131" s="184"/>
      <c r="F131" s="184"/>
      <c r="G131" s="184"/>
      <c r="H131" s="184"/>
      <c r="I131" s="189"/>
      <c r="K131" s="34"/>
      <c r="L131" s="34"/>
      <c r="M131" s="34"/>
    </row>
    <row r="132" spans="1:13" ht="14.4" x14ac:dyDescent="0.3">
      <c r="A132" s="162"/>
      <c r="B132" s="190"/>
      <c r="C132" s="187"/>
      <c r="D132" s="191"/>
      <c r="E132" s="192"/>
      <c r="F132" s="128"/>
      <c r="G132" s="128"/>
      <c r="H132" s="128"/>
      <c r="I132" s="189"/>
      <c r="K132" s="34"/>
      <c r="L132" s="34"/>
      <c r="M132" s="34"/>
    </row>
    <row r="133" spans="1:13" ht="14.4" x14ac:dyDescent="0.3">
      <c r="A133" s="163"/>
      <c r="B133" s="164"/>
      <c r="C133" s="165"/>
      <c r="D133" s="166"/>
      <c r="E133" s="166"/>
      <c r="F133" s="128"/>
      <c r="G133" s="128"/>
      <c r="H133" s="128"/>
      <c r="I133" s="167"/>
      <c r="K133" s="34"/>
      <c r="L133" s="34"/>
      <c r="M133" s="34"/>
    </row>
    <row r="134" spans="1:13" ht="14.4" x14ac:dyDescent="0.3">
      <c r="A134" s="168"/>
      <c r="B134" s="169"/>
      <c r="C134" s="165"/>
      <c r="D134" s="170"/>
      <c r="E134" s="128"/>
      <c r="F134" s="128"/>
      <c r="G134" s="128"/>
      <c r="H134" s="128"/>
      <c r="I134" s="167"/>
      <c r="J134" s="6"/>
      <c r="K134" s="34"/>
      <c r="L134" s="34"/>
      <c r="M134" s="74"/>
    </row>
    <row r="135" spans="1:13" ht="14.4" x14ac:dyDescent="0.3">
      <c r="A135" s="160"/>
      <c r="B135" s="169"/>
      <c r="C135" s="165"/>
      <c r="D135" s="170"/>
      <c r="E135" s="128"/>
      <c r="F135" s="128"/>
      <c r="G135" s="128"/>
      <c r="H135" s="128"/>
      <c r="I135" s="167"/>
      <c r="J135" s="6"/>
      <c r="K135" s="34"/>
      <c r="L135" s="34"/>
      <c r="M135" s="6"/>
    </row>
    <row r="136" spans="1:13" ht="14.4" x14ac:dyDescent="0.3">
      <c r="B136" s="169"/>
      <c r="C136" s="128"/>
      <c r="D136" s="170"/>
      <c r="E136" s="128"/>
      <c r="F136" s="128"/>
      <c r="G136" s="128"/>
      <c r="H136" s="128"/>
      <c r="I136" s="167"/>
      <c r="K136" s="34"/>
      <c r="L136" s="34"/>
      <c r="M136" s="6"/>
    </row>
    <row r="137" spans="1:13" x14ac:dyDescent="0.3">
      <c r="B137" s="444"/>
      <c r="C137" s="444"/>
      <c r="D137" s="444"/>
      <c r="E137" s="444"/>
      <c r="F137" s="444"/>
      <c r="G137" s="444"/>
      <c r="H137" s="444"/>
      <c r="I137" s="444"/>
      <c r="K137" s="112"/>
      <c r="L137" s="112"/>
    </row>
    <row r="138" spans="1:13" x14ac:dyDescent="0.3">
      <c r="B138" s="444"/>
      <c r="C138" s="444"/>
      <c r="D138" s="444"/>
      <c r="E138" s="444"/>
      <c r="F138" s="444"/>
      <c r="G138" s="444"/>
      <c r="H138" s="444"/>
      <c r="I138" s="444"/>
      <c r="K138" s="112"/>
      <c r="L138" s="112"/>
      <c r="M138" s="6"/>
    </row>
    <row r="139" spans="1:13" x14ac:dyDescent="0.3">
      <c r="A139" s="159"/>
      <c r="B139" s="444"/>
      <c r="C139" s="444"/>
      <c r="D139" s="444"/>
      <c r="E139" s="444"/>
      <c r="F139" s="444"/>
      <c r="G139" s="444"/>
      <c r="H139" s="444"/>
      <c r="I139" s="444"/>
      <c r="K139" s="112"/>
      <c r="L139" s="112"/>
      <c r="M139" s="6"/>
    </row>
    <row r="140" spans="1:13" x14ac:dyDescent="0.3">
      <c r="B140" s="444"/>
      <c r="C140" s="444"/>
      <c r="D140" s="444"/>
      <c r="E140" s="444"/>
      <c r="F140" s="444"/>
      <c r="G140" s="444"/>
      <c r="H140" s="444"/>
      <c r="I140" s="444"/>
      <c r="K140" s="178"/>
      <c r="L140" s="178"/>
      <c r="M140" s="6"/>
    </row>
    <row r="141" spans="1:13" x14ac:dyDescent="0.3">
      <c r="A141" s="179"/>
      <c r="B141" s="444"/>
      <c r="C141" s="444"/>
      <c r="D141" s="444"/>
      <c r="E141" s="444"/>
      <c r="F141" s="444"/>
      <c r="G141" s="444"/>
      <c r="J141" s="445"/>
      <c r="K141" s="445"/>
      <c r="L141" s="445"/>
      <c r="M141" s="76"/>
    </row>
    <row r="142" spans="1:13" x14ac:dyDescent="0.3"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6"/>
    </row>
    <row r="143" spans="1:13" ht="23.4" x14ac:dyDescent="0.45">
      <c r="A143" s="52"/>
      <c r="B143" s="446"/>
      <c r="C143" s="446"/>
      <c r="D143" s="446"/>
      <c r="E143" s="446"/>
      <c r="F143" s="446"/>
      <c r="G143" s="446"/>
      <c r="H143" s="446"/>
      <c r="I143" s="446"/>
      <c r="J143" s="52"/>
      <c r="M143" s="28"/>
    </row>
    <row r="144" spans="1:13" x14ac:dyDescent="0.3">
      <c r="B144" s="444"/>
      <c r="C144" s="444"/>
      <c r="D144" s="444"/>
      <c r="E144" s="444"/>
      <c r="F144" s="444"/>
      <c r="G144" s="444"/>
      <c r="H144" s="444"/>
      <c r="I144" s="444"/>
      <c r="J144" s="444"/>
      <c r="K144" s="444"/>
      <c r="L144" s="444"/>
      <c r="M144" s="13"/>
    </row>
    <row r="145" spans="1:13" x14ac:dyDescent="0.3">
      <c r="B145" s="454"/>
      <c r="C145" s="454"/>
      <c r="D145" s="454"/>
      <c r="E145" s="454"/>
      <c r="K145" s="444"/>
      <c r="L145" s="444"/>
      <c r="M145" s="13"/>
    </row>
    <row r="146" spans="1:13" x14ac:dyDescent="0.3">
      <c r="A146" s="52"/>
      <c r="B146" s="454"/>
      <c r="C146" s="454"/>
      <c r="D146" s="454"/>
      <c r="E146" s="454"/>
      <c r="F146" s="52"/>
      <c r="G146" s="52"/>
      <c r="H146" s="52"/>
      <c r="I146" s="52"/>
      <c r="J146" s="52"/>
      <c r="K146" s="444"/>
      <c r="L146" s="444"/>
      <c r="M146" s="34"/>
    </row>
    <row r="147" spans="1:13" x14ac:dyDescent="0.3">
      <c r="A147" s="13"/>
      <c r="B147" s="455"/>
      <c r="C147" s="455"/>
      <c r="D147" s="455"/>
      <c r="E147" s="455"/>
      <c r="F147" s="445"/>
      <c r="G147" s="445"/>
      <c r="H147" s="445"/>
      <c r="I147" s="445"/>
      <c r="J147" s="445"/>
      <c r="K147" s="445"/>
      <c r="L147" s="445"/>
      <c r="M147" s="34"/>
    </row>
    <row r="148" spans="1:13" x14ac:dyDescent="0.3">
      <c r="A148" s="13"/>
      <c r="K148" s="6"/>
      <c r="L148" s="6"/>
      <c r="M148" s="74"/>
    </row>
    <row r="149" spans="1:13" ht="23.4" x14ac:dyDescent="0.45">
      <c r="A149" s="6"/>
      <c r="B149" s="52"/>
      <c r="C149" s="52"/>
      <c r="D149" s="52"/>
      <c r="E149" s="52"/>
      <c r="F149" s="456"/>
      <c r="G149" s="456"/>
      <c r="H149" s="456"/>
      <c r="I149" s="456"/>
      <c r="J149" s="456"/>
      <c r="K149" s="181"/>
      <c r="L149" s="28"/>
      <c r="M149" s="34"/>
    </row>
    <row r="150" spans="1:13" x14ac:dyDescent="0.3">
      <c r="B150" s="13"/>
      <c r="C150" s="13"/>
      <c r="D150" s="13"/>
      <c r="E150" s="13"/>
      <c r="F150" s="13"/>
      <c r="G150" s="13"/>
      <c r="H150" s="13"/>
      <c r="I150" s="13"/>
      <c r="J150" s="13"/>
      <c r="K150" s="448"/>
      <c r="L150" s="448"/>
      <c r="M150" s="74"/>
    </row>
    <row r="151" spans="1:13" x14ac:dyDescent="0.3">
      <c r="A151" s="182"/>
      <c r="B151" s="13"/>
      <c r="C151" s="13"/>
      <c r="D151" s="13"/>
      <c r="E151" s="13"/>
      <c r="F151" s="13"/>
      <c r="G151" s="13"/>
      <c r="H151" s="13"/>
      <c r="I151" s="13"/>
      <c r="J151" s="13"/>
      <c r="K151" s="448"/>
      <c r="L151" s="448"/>
      <c r="M151" s="34"/>
    </row>
    <row r="152" spans="1:13" x14ac:dyDescent="0.3">
      <c r="B152" s="6"/>
      <c r="C152" s="6"/>
      <c r="D152" s="6"/>
      <c r="E152" s="6"/>
      <c r="F152" s="6"/>
      <c r="G152" s="6"/>
      <c r="H152" s="6"/>
      <c r="I152" s="6"/>
      <c r="J152" s="6"/>
      <c r="K152" s="452"/>
      <c r="L152" s="452"/>
      <c r="M152" s="34"/>
    </row>
    <row r="153" spans="1:13" x14ac:dyDescent="0.3">
      <c r="A153" s="182"/>
      <c r="K153" s="452"/>
      <c r="L153" s="452"/>
      <c r="M153" s="34"/>
    </row>
    <row r="154" spans="1:13" x14ac:dyDescent="0.3">
      <c r="A154" s="182"/>
      <c r="B154" s="182"/>
      <c r="C154" s="183"/>
      <c r="D154" s="184"/>
      <c r="E154" s="184"/>
      <c r="K154" s="453"/>
      <c r="L154" s="453"/>
      <c r="M154" s="34"/>
    </row>
    <row r="155" spans="1:13" x14ac:dyDescent="0.3">
      <c r="A155" s="182"/>
      <c r="B155" s="185"/>
      <c r="C155" s="184"/>
      <c r="D155" s="186"/>
      <c r="E155" s="184"/>
      <c r="F155" s="184"/>
      <c r="G155" s="184"/>
      <c r="H155" s="184"/>
      <c r="I155" s="187"/>
      <c r="K155" s="452"/>
      <c r="L155" s="452"/>
      <c r="M155" s="34"/>
    </row>
    <row r="156" spans="1:13" x14ac:dyDescent="0.3">
      <c r="A156" s="160"/>
      <c r="B156" s="182"/>
      <c r="C156" s="183"/>
      <c r="D156" s="188"/>
      <c r="E156" s="188"/>
      <c r="I156" s="189"/>
      <c r="K156" s="453"/>
      <c r="L156" s="453"/>
      <c r="M156" s="34"/>
    </row>
    <row r="157" spans="1:13" x14ac:dyDescent="0.3">
      <c r="A157" s="161"/>
      <c r="B157" s="185"/>
      <c r="C157" s="184"/>
      <c r="D157" s="184"/>
      <c r="E157" s="184"/>
      <c r="F157" s="184"/>
      <c r="G157" s="184"/>
      <c r="H157" s="184"/>
      <c r="I157" s="189"/>
      <c r="K157" s="452"/>
      <c r="L157" s="452"/>
      <c r="M157" s="34"/>
    </row>
    <row r="158" spans="1:13" ht="14.4" x14ac:dyDescent="0.3">
      <c r="A158" s="162"/>
      <c r="B158" s="190"/>
      <c r="C158" s="187"/>
      <c r="D158" s="191"/>
      <c r="E158" s="192"/>
      <c r="F158" s="128"/>
      <c r="G158" s="128"/>
      <c r="H158" s="128"/>
      <c r="I158" s="189"/>
      <c r="K158" s="452"/>
      <c r="L158" s="452"/>
      <c r="M158" s="34"/>
    </row>
    <row r="159" spans="1:13" ht="14.4" x14ac:dyDescent="0.3">
      <c r="A159" s="163"/>
      <c r="B159" s="164"/>
      <c r="C159" s="165"/>
      <c r="D159" s="166"/>
      <c r="E159" s="166"/>
      <c r="F159" s="128"/>
      <c r="G159" s="128"/>
      <c r="H159" s="128"/>
      <c r="I159" s="167"/>
      <c r="K159" s="452"/>
      <c r="L159" s="452"/>
      <c r="M159" s="34"/>
    </row>
    <row r="160" spans="1:13" ht="14.4" x14ac:dyDescent="0.3">
      <c r="A160" s="168"/>
      <c r="B160" s="169"/>
      <c r="C160" s="165"/>
      <c r="D160" s="170"/>
      <c r="E160" s="128"/>
      <c r="F160" s="128"/>
      <c r="G160" s="128"/>
      <c r="H160" s="128"/>
      <c r="I160" s="167"/>
      <c r="J160" s="6"/>
      <c r="K160" s="452"/>
      <c r="L160" s="452"/>
      <c r="M160" s="74"/>
    </row>
    <row r="161" spans="1:13" ht="14.4" x14ac:dyDescent="0.3">
      <c r="A161" s="160"/>
      <c r="B161" s="169"/>
      <c r="C161" s="165"/>
      <c r="D161" s="170"/>
      <c r="E161" s="128"/>
      <c r="F161" s="128"/>
      <c r="G161" s="128"/>
      <c r="H161" s="128"/>
      <c r="I161" s="167"/>
      <c r="J161" s="6"/>
      <c r="K161" s="452"/>
      <c r="L161" s="452"/>
      <c r="M161" s="6"/>
    </row>
    <row r="162" spans="1:13" ht="14.4" x14ac:dyDescent="0.3">
      <c r="B162" s="169"/>
      <c r="C162" s="128"/>
      <c r="D162" s="170"/>
      <c r="E162" s="128"/>
      <c r="F162" s="128"/>
      <c r="G162" s="128"/>
      <c r="H162" s="128"/>
      <c r="I162" s="167"/>
      <c r="K162" s="452"/>
      <c r="L162" s="452"/>
      <c r="M162" s="6"/>
    </row>
    <row r="163" spans="1:13" ht="14.4" x14ac:dyDescent="0.3">
      <c r="A163" s="6"/>
      <c r="B163" s="169"/>
      <c r="C163" s="128"/>
      <c r="D163" s="128"/>
      <c r="E163" s="128"/>
      <c r="F163" s="128"/>
      <c r="G163" s="128"/>
      <c r="H163" s="128"/>
      <c r="I163" s="167"/>
      <c r="K163" s="452"/>
      <c r="L163" s="452"/>
      <c r="M163" s="6"/>
    </row>
    <row r="164" spans="1:13" x14ac:dyDescent="0.3">
      <c r="A164" s="6"/>
      <c r="B164" s="40"/>
      <c r="C164" s="160"/>
      <c r="D164" s="40"/>
      <c r="K164" s="452"/>
      <c r="L164" s="452"/>
      <c r="M164" s="6"/>
    </row>
    <row r="165" spans="1:13" x14ac:dyDescent="0.3">
      <c r="B165" s="171"/>
      <c r="C165" s="160"/>
      <c r="D165" s="40"/>
      <c r="E165" s="172"/>
      <c r="K165" s="452"/>
      <c r="L165" s="452"/>
      <c r="M165" s="124"/>
    </row>
    <row r="166" spans="1:13" x14ac:dyDescent="0.3">
      <c r="B166" s="6"/>
      <c r="C166" s="6"/>
      <c r="D166" s="6"/>
      <c r="E166" s="6"/>
      <c r="F166" s="6"/>
      <c r="G166" s="445"/>
      <c r="H166" s="445"/>
      <c r="I166" s="445"/>
      <c r="J166" s="445"/>
      <c r="K166" s="453"/>
      <c r="L166" s="453"/>
      <c r="M166" s="173"/>
    </row>
    <row r="167" spans="1:13" x14ac:dyDescent="0.3">
      <c r="B167" s="6"/>
      <c r="C167" s="6"/>
      <c r="D167" s="6"/>
      <c r="E167" s="6"/>
      <c r="F167" s="6"/>
      <c r="G167" s="444"/>
      <c r="H167" s="444"/>
      <c r="I167" s="444"/>
      <c r="J167" s="444"/>
      <c r="K167" s="444"/>
      <c r="L167" s="444"/>
      <c r="M167" s="173"/>
    </row>
    <row r="168" spans="1:13" x14ac:dyDescent="0.3">
      <c r="A168" s="124"/>
      <c r="B168" s="449"/>
      <c r="C168" s="449"/>
      <c r="D168" s="449"/>
      <c r="E168" s="449"/>
      <c r="F168" s="449"/>
      <c r="G168" s="444"/>
      <c r="H168" s="444"/>
      <c r="I168" s="444"/>
      <c r="J168" s="444"/>
      <c r="K168" s="444"/>
      <c r="L168" s="444"/>
      <c r="M168" s="174"/>
    </row>
    <row r="169" spans="1:13" x14ac:dyDescent="0.3">
      <c r="A169" s="124"/>
      <c r="B169" s="449"/>
      <c r="C169" s="449"/>
      <c r="D169" s="449"/>
      <c r="E169" s="449"/>
      <c r="F169" s="449"/>
      <c r="G169" s="444"/>
      <c r="H169" s="444"/>
      <c r="I169" s="444"/>
      <c r="J169" s="444"/>
      <c r="K169" s="444"/>
      <c r="L169" s="444"/>
      <c r="M169" s="136"/>
    </row>
    <row r="170" spans="1:13" x14ac:dyDescent="0.3">
      <c r="A170" s="124"/>
      <c r="B170" s="449"/>
      <c r="C170" s="449"/>
      <c r="D170" s="449"/>
      <c r="E170" s="449"/>
      <c r="F170" s="449"/>
      <c r="G170" s="444"/>
      <c r="H170" s="444"/>
      <c r="I170" s="444"/>
      <c r="J170" s="444"/>
      <c r="K170" s="444"/>
      <c r="L170" s="444"/>
      <c r="M170" s="6"/>
    </row>
    <row r="171" spans="1:13" x14ac:dyDescent="0.3">
      <c r="A171" s="124"/>
      <c r="B171" s="124"/>
      <c r="C171" s="124"/>
      <c r="D171" s="124"/>
      <c r="E171" s="124"/>
      <c r="F171" s="124"/>
      <c r="G171" s="449"/>
      <c r="H171" s="449"/>
      <c r="I171" s="449"/>
      <c r="J171" s="449"/>
      <c r="K171" s="449"/>
      <c r="L171" s="449"/>
    </row>
    <row r="172" spans="1:13" x14ac:dyDescent="0.3">
      <c r="A172" s="6"/>
      <c r="B172" s="124"/>
      <c r="C172" s="124"/>
      <c r="D172" s="124"/>
      <c r="E172" s="124"/>
      <c r="F172" s="124"/>
      <c r="G172" s="175"/>
      <c r="H172" s="175"/>
      <c r="I172" s="175"/>
      <c r="J172" s="173"/>
      <c r="K172" s="173"/>
      <c r="L172" s="173"/>
    </row>
    <row r="173" spans="1:13" x14ac:dyDescent="0.3">
      <c r="A173" s="6"/>
      <c r="B173" s="124"/>
      <c r="C173" s="124"/>
      <c r="D173" s="124"/>
      <c r="E173" s="124"/>
      <c r="F173" s="124"/>
      <c r="G173" s="175"/>
      <c r="H173" s="175"/>
      <c r="I173" s="175"/>
      <c r="J173" s="173"/>
      <c r="K173" s="173"/>
      <c r="L173" s="173"/>
      <c r="M173" s="6"/>
    </row>
    <row r="174" spans="1:13" x14ac:dyDescent="0.3">
      <c r="A174" s="124"/>
      <c r="B174" s="124"/>
      <c r="C174" s="124"/>
      <c r="D174" s="124"/>
      <c r="E174" s="124"/>
      <c r="F174" s="124"/>
      <c r="G174" s="450"/>
      <c r="H174" s="450"/>
      <c r="I174" s="450"/>
      <c r="J174" s="450"/>
      <c r="K174" s="450"/>
      <c r="L174" s="450"/>
      <c r="M174" s="6"/>
    </row>
    <row r="175" spans="1:13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451"/>
      <c r="K175" s="451"/>
      <c r="L175" s="451"/>
      <c r="M175" s="6"/>
    </row>
    <row r="176" spans="1:13" x14ac:dyDescent="0.3">
      <c r="A176" s="124"/>
      <c r="B176" s="6"/>
      <c r="C176" s="6"/>
      <c r="D176" s="6"/>
      <c r="E176" s="112"/>
      <c r="F176" s="112"/>
      <c r="J176" s="444"/>
      <c r="K176" s="444"/>
      <c r="L176" s="444"/>
      <c r="M176" s="6"/>
    </row>
    <row r="177" spans="1:13" x14ac:dyDescent="0.3">
      <c r="A177" s="6"/>
      <c r="B177" s="124"/>
      <c r="C177" s="124"/>
      <c r="D177" s="124"/>
      <c r="E177" s="112"/>
      <c r="F177" s="112"/>
      <c r="M177" s="6"/>
    </row>
    <row r="178" spans="1:13" x14ac:dyDescent="0.3">
      <c r="A178" s="76"/>
      <c r="B178" s="6"/>
      <c r="C178" s="6"/>
      <c r="D178" s="6"/>
      <c r="E178" s="112"/>
      <c r="F178" s="112"/>
    </row>
    <row r="179" spans="1:13" x14ac:dyDescent="0.3">
      <c r="A179" s="176"/>
      <c r="B179" s="124"/>
      <c r="C179" s="124"/>
      <c r="D179" s="124"/>
      <c r="E179" s="112"/>
      <c r="F179" s="112"/>
      <c r="J179" s="444"/>
      <c r="K179" s="444"/>
      <c r="L179" s="444"/>
    </row>
    <row r="180" spans="1:13" x14ac:dyDescent="0.3">
      <c r="A180" s="176"/>
      <c r="B180" s="6"/>
      <c r="C180" s="6"/>
      <c r="D180" s="6"/>
      <c r="E180" s="112"/>
      <c r="F180" s="112"/>
      <c r="J180" s="444"/>
      <c r="K180" s="444"/>
      <c r="L180" s="444"/>
      <c r="M180" s="159"/>
    </row>
    <row r="181" spans="1:13" x14ac:dyDescent="0.3">
      <c r="B181" s="76"/>
      <c r="C181" s="76"/>
      <c r="D181" s="76"/>
      <c r="E181" s="76"/>
      <c r="F181" s="76"/>
      <c r="G181" s="76"/>
      <c r="H181" s="76"/>
      <c r="I181" s="76"/>
      <c r="K181" s="444"/>
      <c r="L181" s="444"/>
      <c r="M181" s="13"/>
    </row>
    <row r="182" spans="1:13" x14ac:dyDescent="0.3">
      <c r="A182" s="6"/>
      <c r="B182" s="176"/>
      <c r="C182" s="176"/>
      <c r="D182" s="176"/>
      <c r="E182" s="176"/>
      <c r="F182" s="176"/>
      <c r="G182" s="176"/>
      <c r="H182" s="176"/>
      <c r="I182" s="176"/>
      <c r="K182" s="447"/>
      <c r="L182" s="444"/>
      <c r="M182" s="13"/>
    </row>
    <row r="183" spans="1:13" x14ac:dyDescent="0.3">
      <c r="A183" s="159"/>
      <c r="B183" s="176"/>
      <c r="C183" s="176"/>
      <c r="D183" s="176"/>
      <c r="E183" s="176"/>
      <c r="F183" s="176"/>
      <c r="G183" s="176"/>
      <c r="H183" s="176"/>
      <c r="I183" s="176"/>
      <c r="J183" s="444"/>
      <c r="K183" s="444"/>
      <c r="L183" s="444"/>
      <c r="M183" s="112"/>
    </row>
    <row r="184" spans="1:13" x14ac:dyDescent="0.3">
      <c r="A184" s="136"/>
      <c r="M184" s="178"/>
    </row>
    <row r="185" spans="1:13" x14ac:dyDescent="0.3">
      <c r="A185" s="136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178"/>
    </row>
    <row r="186" spans="1:13" x14ac:dyDescent="0.3">
      <c r="A186" s="52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12"/>
    </row>
    <row r="187" spans="1:13" x14ac:dyDescent="0.3">
      <c r="A187" s="52"/>
      <c r="B187" s="448"/>
      <c r="C187" s="448"/>
      <c r="D187" s="448"/>
      <c r="E187" s="448"/>
      <c r="F187" s="448"/>
      <c r="G187" s="448"/>
      <c r="H187" s="445"/>
      <c r="I187" s="445"/>
      <c r="J187" s="448"/>
      <c r="K187" s="448"/>
      <c r="L187" s="448"/>
      <c r="M187" s="112"/>
    </row>
    <row r="188" spans="1:13" x14ac:dyDescent="0.3">
      <c r="A188" s="52"/>
      <c r="B188" s="448"/>
      <c r="C188" s="448"/>
      <c r="D188" s="448"/>
      <c r="E188" s="448"/>
      <c r="F188" s="448"/>
      <c r="G188" s="448"/>
      <c r="H188" s="445"/>
      <c r="I188" s="445"/>
      <c r="J188" s="448"/>
      <c r="K188" s="448"/>
      <c r="L188" s="448"/>
      <c r="M188" s="112"/>
    </row>
    <row r="189" spans="1:13" x14ac:dyDescent="0.3">
      <c r="B189" s="444"/>
      <c r="C189" s="444"/>
      <c r="D189" s="444"/>
      <c r="E189" s="444"/>
      <c r="F189" s="444"/>
      <c r="G189" s="444"/>
      <c r="H189" s="445"/>
      <c r="I189" s="445"/>
      <c r="K189" s="178"/>
      <c r="L189" s="112"/>
      <c r="M189" s="112"/>
    </row>
    <row r="190" spans="1:13" x14ac:dyDescent="0.3">
      <c r="B190" s="444"/>
      <c r="C190" s="444"/>
      <c r="D190" s="444"/>
      <c r="E190" s="444"/>
      <c r="F190" s="444"/>
      <c r="G190" s="444"/>
      <c r="H190" s="445"/>
      <c r="I190" s="445"/>
      <c r="K190" s="178"/>
      <c r="L190" s="178"/>
      <c r="M190" s="112"/>
    </row>
    <row r="191" spans="1:13" x14ac:dyDescent="0.3">
      <c r="B191" s="444"/>
      <c r="C191" s="444"/>
      <c r="D191" s="444"/>
      <c r="E191" s="444"/>
      <c r="F191" s="444"/>
      <c r="G191" s="444"/>
      <c r="H191" s="445"/>
      <c r="I191" s="445"/>
      <c r="K191" s="112"/>
      <c r="L191" s="178"/>
      <c r="M191" s="112"/>
    </row>
    <row r="192" spans="1:13" x14ac:dyDescent="0.3">
      <c r="B192" s="444"/>
      <c r="C192" s="444"/>
      <c r="D192" s="444"/>
      <c r="E192" s="444"/>
      <c r="F192" s="444"/>
      <c r="G192" s="444"/>
      <c r="H192" s="444"/>
      <c r="I192" s="444"/>
      <c r="K192" s="112"/>
      <c r="L192" s="112"/>
      <c r="M192" s="178"/>
    </row>
    <row r="193" spans="1:13" x14ac:dyDescent="0.3">
      <c r="B193" s="444"/>
      <c r="C193" s="444"/>
      <c r="D193" s="444"/>
      <c r="E193" s="444"/>
      <c r="F193" s="444"/>
      <c r="G193" s="444"/>
      <c r="H193" s="444"/>
      <c r="I193" s="444"/>
      <c r="K193" s="112"/>
      <c r="L193" s="112"/>
      <c r="M193" s="76"/>
    </row>
    <row r="194" spans="1:13" x14ac:dyDescent="0.3">
      <c r="B194" s="444"/>
      <c r="C194" s="444"/>
      <c r="D194" s="444"/>
      <c r="E194" s="444"/>
      <c r="F194" s="444"/>
      <c r="G194" s="444"/>
      <c r="H194" s="444"/>
      <c r="I194" s="444"/>
      <c r="K194" s="112"/>
      <c r="L194" s="112"/>
      <c r="M194" s="159"/>
    </row>
    <row r="195" spans="1:13" x14ac:dyDescent="0.3">
      <c r="B195" s="444"/>
      <c r="C195" s="444"/>
      <c r="D195" s="444"/>
      <c r="E195" s="444"/>
      <c r="F195" s="444"/>
      <c r="G195" s="444"/>
      <c r="H195" s="444"/>
      <c r="I195" s="444"/>
      <c r="K195" s="112"/>
      <c r="L195" s="112"/>
    </row>
    <row r="196" spans="1:13" x14ac:dyDescent="0.3">
      <c r="B196" s="444"/>
      <c r="C196" s="444"/>
      <c r="D196" s="444"/>
      <c r="E196" s="444"/>
      <c r="F196" s="444"/>
      <c r="G196" s="444"/>
      <c r="H196" s="444"/>
      <c r="I196" s="444"/>
      <c r="K196" s="112"/>
      <c r="L196" s="112"/>
      <c r="M196" s="6"/>
    </row>
    <row r="197" spans="1:13" x14ac:dyDescent="0.3">
      <c r="A197" s="159"/>
      <c r="B197" s="444"/>
      <c r="C197" s="444"/>
      <c r="D197" s="444"/>
      <c r="E197" s="444"/>
      <c r="F197" s="444"/>
      <c r="G197" s="444"/>
      <c r="H197" s="444"/>
      <c r="I197" s="444"/>
      <c r="K197" s="112"/>
      <c r="L197" s="112"/>
      <c r="M197" s="6"/>
    </row>
    <row r="198" spans="1:13" x14ac:dyDescent="0.3">
      <c r="B198" s="444"/>
      <c r="C198" s="444"/>
      <c r="D198" s="444"/>
      <c r="E198" s="444"/>
      <c r="F198" s="444"/>
      <c r="G198" s="444"/>
      <c r="H198" s="444"/>
      <c r="I198" s="444"/>
      <c r="K198" s="178"/>
      <c r="L198" s="178"/>
      <c r="M198" s="6"/>
    </row>
    <row r="199" spans="1:13" x14ac:dyDescent="0.3">
      <c r="A199" s="179"/>
      <c r="B199" s="444"/>
      <c r="C199" s="444"/>
      <c r="D199" s="444"/>
      <c r="E199" s="444"/>
      <c r="F199" s="444"/>
      <c r="G199" s="444"/>
      <c r="J199" s="445"/>
      <c r="K199" s="445"/>
      <c r="L199" s="445"/>
      <c r="M199" s="76"/>
    </row>
    <row r="200" spans="1:13" x14ac:dyDescent="0.3"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6"/>
    </row>
    <row r="201" spans="1:13" ht="23.4" x14ac:dyDescent="0.45">
      <c r="A201" s="52"/>
      <c r="B201" s="446"/>
      <c r="C201" s="446"/>
      <c r="D201" s="446"/>
      <c r="E201" s="446"/>
      <c r="F201" s="446"/>
      <c r="G201" s="446"/>
      <c r="H201" s="446"/>
      <c r="I201" s="446"/>
      <c r="J201" s="52"/>
      <c r="M201" s="28"/>
    </row>
    <row r="202" spans="1:13" x14ac:dyDescent="0.3">
      <c r="B202" s="444"/>
      <c r="C202" s="444"/>
      <c r="D202" s="444"/>
      <c r="E202" s="444"/>
      <c r="F202" s="444"/>
      <c r="G202" s="444"/>
      <c r="H202" s="444"/>
      <c r="I202" s="444"/>
      <c r="J202" s="444"/>
      <c r="K202" s="444"/>
      <c r="L202" s="444"/>
      <c r="M202" s="13"/>
    </row>
    <row r="203" spans="1:13" x14ac:dyDescent="0.3">
      <c r="B203" s="454"/>
      <c r="C203" s="454"/>
      <c r="D203" s="454"/>
      <c r="E203" s="454"/>
      <c r="K203" s="444"/>
      <c r="L203" s="444"/>
      <c r="M203" s="13"/>
    </row>
    <row r="204" spans="1:13" x14ac:dyDescent="0.3">
      <c r="A204" s="52"/>
      <c r="B204" s="454"/>
      <c r="C204" s="454"/>
      <c r="D204" s="454"/>
      <c r="E204" s="454"/>
      <c r="F204" s="52"/>
      <c r="G204" s="52"/>
      <c r="H204" s="52"/>
      <c r="I204" s="52"/>
      <c r="J204" s="52"/>
      <c r="K204" s="444"/>
      <c r="L204" s="444"/>
      <c r="M204" s="34"/>
    </row>
    <row r="205" spans="1:13" x14ac:dyDescent="0.3">
      <c r="A205" s="13"/>
      <c r="B205" s="455"/>
      <c r="C205" s="455"/>
      <c r="D205" s="455"/>
      <c r="E205" s="455"/>
      <c r="F205" s="445"/>
      <c r="G205" s="445"/>
      <c r="H205" s="445"/>
      <c r="I205" s="445"/>
      <c r="J205" s="445"/>
      <c r="K205" s="445"/>
      <c r="L205" s="445"/>
      <c r="M205" s="34"/>
    </row>
    <row r="206" spans="1:13" x14ac:dyDescent="0.3">
      <c r="A206" s="13"/>
      <c r="K206" s="6"/>
      <c r="L206" s="6"/>
      <c r="M206" s="74"/>
    </row>
    <row r="207" spans="1:13" ht="23.4" x14ac:dyDescent="0.45">
      <c r="A207" s="6"/>
      <c r="B207" s="52"/>
      <c r="C207" s="52"/>
      <c r="D207" s="52"/>
      <c r="E207" s="52"/>
      <c r="F207" s="456"/>
      <c r="G207" s="456"/>
      <c r="H207" s="456"/>
      <c r="I207" s="456"/>
      <c r="J207" s="456"/>
      <c r="K207" s="181"/>
      <c r="L207" s="28"/>
      <c r="M207" s="34"/>
    </row>
    <row r="208" spans="1:13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448"/>
      <c r="L208" s="448"/>
      <c r="M208" s="74"/>
    </row>
    <row r="209" spans="1:13" x14ac:dyDescent="0.3">
      <c r="A209" s="182"/>
      <c r="B209" s="13"/>
      <c r="C209" s="13"/>
      <c r="D209" s="13"/>
      <c r="E209" s="13"/>
      <c r="F209" s="13"/>
      <c r="G209" s="13"/>
      <c r="H209" s="13"/>
      <c r="I209" s="13"/>
      <c r="J209" s="13"/>
      <c r="K209" s="448"/>
      <c r="L209" s="448"/>
      <c r="M209" s="34"/>
    </row>
    <row r="210" spans="1:13" x14ac:dyDescent="0.3">
      <c r="B210" s="6"/>
      <c r="C210" s="6"/>
      <c r="D210" s="6"/>
      <c r="E210" s="6"/>
      <c r="F210" s="6"/>
      <c r="G210" s="6"/>
      <c r="H210" s="6"/>
      <c r="I210" s="6"/>
      <c r="J210" s="6"/>
      <c r="K210" s="452"/>
      <c r="L210" s="452"/>
      <c r="M210" s="34"/>
    </row>
    <row r="211" spans="1:13" x14ac:dyDescent="0.3">
      <c r="A211" s="182"/>
      <c r="K211" s="452"/>
      <c r="L211" s="452"/>
      <c r="M211" s="34"/>
    </row>
    <row r="212" spans="1:13" x14ac:dyDescent="0.3">
      <c r="A212" s="182"/>
      <c r="B212" s="182"/>
      <c r="C212" s="183"/>
      <c r="D212" s="184"/>
      <c r="E212" s="184"/>
      <c r="K212" s="453"/>
      <c r="L212" s="453"/>
      <c r="M212" s="34"/>
    </row>
    <row r="213" spans="1:13" x14ac:dyDescent="0.3">
      <c r="A213" s="182"/>
      <c r="B213" s="185"/>
      <c r="C213" s="184"/>
      <c r="D213" s="186"/>
      <c r="E213" s="184"/>
      <c r="F213" s="184"/>
      <c r="G213" s="184"/>
      <c r="H213" s="184"/>
      <c r="I213" s="187"/>
      <c r="K213" s="452"/>
      <c r="L213" s="452"/>
      <c r="M213" s="34"/>
    </row>
    <row r="214" spans="1:13" x14ac:dyDescent="0.3">
      <c r="A214" s="160"/>
      <c r="B214" s="182"/>
      <c r="C214" s="183"/>
      <c r="D214" s="188"/>
      <c r="E214" s="188"/>
      <c r="I214" s="189"/>
      <c r="K214" s="453"/>
      <c r="L214" s="453"/>
      <c r="M214" s="34"/>
    </row>
    <row r="215" spans="1:13" x14ac:dyDescent="0.3">
      <c r="A215" s="161"/>
      <c r="B215" s="185"/>
      <c r="C215" s="184"/>
      <c r="D215" s="184"/>
      <c r="E215" s="184"/>
      <c r="F215" s="184"/>
      <c r="G215" s="184"/>
      <c r="H215" s="184"/>
      <c r="I215" s="189"/>
      <c r="K215" s="452"/>
      <c r="L215" s="452"/>
      <c r="M215" s="34"/>
    </row>
    <row r="216" spans="1:13" ht="14.4" x14ac:dyDescent="0.3">
      <c r="A216" s="162"/>
      <c r="B216" s="190"/>
      <c r="C216" s="187"/>
      <c r="D216" s="191"/>
      <c r="E216" s="192"/>
      <c r="F216" s="128"/>
      <c r="G216" s="128"/>
      <c r="H216" s="128"/>
      <c r="I216" s="189"/>
      <c r="K216" s="452"/>
      <c r="L216" s="452"/>
      <c r="M216" s="34"/>
    </row>
    <row r="217" spans="1:13" ht="14.4" x14ac:dyDescent="0.3">
      <c r="A217" s="163"/>
      <c r="B217" s="164"/>
      <c r="C217" s="165"/>
      <c r="D217" s="166"/>
      <c r="E217" s="166"/>
      <c r="F217" s="128"/>
      <c r="G217" s="128"/>
      <c r="H217" s="128"/>
      <c r="I217" s="167"/>
      <c r="K217" s="452"/>
      <c r="L217" s="452"/>
      <c r="M217" s="34"/>
    </row>
    <row r="218" spans="1:13" ht="14.4" x14ac:dyDescent="0.3">
      <c r="A218" s="168"/>
      <c r="B218" s="169"/>
      <c r="C218" s="165"/>
      <c r="D218" s="170"/>
      <c r="E218" s="128"/>
      <c r="F218" s="128"/>
      <c r="G218" s="128"/>
      <c r="H218" s="128"/>
      <c r="I218" s="167"/>
      <c r="J218" s="6"/>
      <c r="K218" s="452"/>
      <c r="L218" s="452"/>
      <c r="M218" s="74"/>
    </row>
    <row r="219" spans="1:13" ht="14.4" x14ac:dyDescent="0.3">
      <c r="A219" s="160"/>
      <c r="B219" s="169"/>
      <c r="C219" s="165"/>
      <c r="D219" s="170"/>
      <c r="E219" s="128"/>
      <c r="F219" s="128"/>
      <c r="G219" s="128"/>
      <c r="H219" s="128"/>
      <c r="I219" s="167"/>
      <c r="J219" s="6"/>
      <c r="K219" s="452"/>
      <c r="L219" s="452"/>
      <c r="M219" s="6"/>
    </row>
    <row r="220" spans="1:13" ht="14.4" x14ac:dyDescent="0.3">
      <c r="B220" s="169"/>
      <c r="C220" s="128"/>
      <c r="D220" s="170"/>
      <c r="E220" s="128"/>
      <c r="F220" s="128"/>
      <c r="G220" s="128"/>
      <c r="H220" s="128"/>
      <c r="I220" s="167"/>
      <c r="K220" s="452"/>
      <c r="L220" s="452"/>
      <c r="M220" s="6"/>
    </row>
    <row r="221" spans="1:13" ht="14.4" x14ac:dyDescent="0.3">
      <c r="A221" s="6"/>
      <c r="B221" s="169"/>
      <c r="C221" s="128"/>
      <c r="D221" s="128"/>
      <c r="E221" s="128"/>
      <c r="F221" s="128"/>
      <c r="G221" s="128"/>
      <c r="H221" s="128"/>
      <c r="I221" s="167"/>
      <c r="K221" s="452"/>
      <c r="L221" s="452"/>
      <c r="M221" s="6"/>
    </row>
    <row r="222" spans="1:13" x14ac:dyDescent="0.3">
      <c r="A222" s="6"/>
      <c r="B222" s="40"/>
      <c r="C222" s="160"/>
      <c r="D222" s="40"/>
      <c r="K222" s="452"/>
      <c r="L222" s="452"/>
      <c r="M222" s="6"/>
    </row>
    <row r="223" spans="1:13" x14ac:dyDescent="0.3">
      <c r="B223" s="171"/>
      <c r="C223" s="160"/>
      <c r="D223" s="40"/>
      <c r="E223" s="172"/>
      <c r="K223" s="452"/>
      <c r="L223" s="452"/>
      <c r="M223" s="124"/>
    </row>
    <row r="224" spans="1:13" x14ac:dyDescent="0.3">
      <c r="B224" s="6"/>
      <c r="C224" s="6"/>
      <c r="D224" s="6"/>
      <c r="E224" s="6"/>
      <c r="F224" s="6"/>
      <c r="G224" s="445"/>
      <c r="H224" s="445"/>
      <c r="I224" s="445"/>
      <c r="J224" s="445"/>
      <c r="K224" s="453"/>
      <c r="L224" s="453"/>
      <c r="M224" s="173"/>
    </row>
    <row r="225" spans="1:13" x14ac:dyDescent="0.3">
      <c r="B225" s="6"/>
      <c r="C225" s="6"/>
      <c r="D225" s="6"/>
      <c r="E225" s="6"/>
      <c r="F225" s="6"/>
      <c r="G225" s="444"/>
      <c r="H225" s="444"/>
      <c r="I225" s="444"/>
      <c r="J225" s="444"/>
      <c r="K225" s="444"/>
      <c r="L225" s="444"/>
      <c r="M225" s="173"/>
    </row>
    <row r="226" spans="1:13" x14ac:dyDescent="0.3">
      <c r="A226" s="124"/>
      <c r="B226" s="449"/>
      <c r="C226" s="449"/>
      <c r="D226" s="449"/>
      <c r="E226" s="449"/>
      <c r="F226" s="449"/>
      <c r="G226" s="444"/>
      <c r="H226" s="444"/>
      <c r="I226" s="444"/>
      <c r="J226" s="444"/>
      <c r="K226" s="444"/>
      <c r="L226" s="444"/>
      <c r="M226" s="174"/>
    </row>
    <row r="227" spans="1:13" x14ac:dyDescent="0.3">
      <c r="A227" s="124"/>
      <c r="B227" s="449"/>
      <c r="C227" s="449"/>
      <c r="D227" s="449"/>
      <c r="E227" s="449"/>
      <c r="F227" s="449"/>
      <c r="G227" s="444"/>
      <c r="H227" s="444"/>
      <c r="I227" s="444"/>
      <c r="J227" s="444"/>
      <c r="K227" s="444"/>
      <c r="L227" s="444"/>
      <c r="M227" s="136"/>
    </row>
    <row r="228" spans="1:13" x14ac:dyDescent="0.3">
      <c r="A228" s="124"/>
      <c r="B228" s="449"/>
      <c r="C228" s="449"/>
      <c r="D228" s="449"/>
      <c r="E228" s="449"/>
      <c r="F228" s="449"/>
      <c r="G228" s="444"/>
      <c r="H228" s="444"/>
      <c r="I228" s="444"/>
      <c r="J228" s="444"/>
      <c r="K228" s="444"/>
      <c r="L228" s="444"/>
      <c r="M228" s="6"/>
    </row>
    <row r="229" spans="1:13" x14ac:dyDescent="0.3">
      <c r="A229" s="124"/>
      <c r="B229" s="124"/>
      <c r="C229" s="124"/>
      <c r="D229" s="124"/>
      <c r="E229" s="124"/>
      <c r="F229" s="124"/>
      <c r="G229" s="449"/>
      <c r="H229" s="449"/>
      <c r="I229" s="449"/>
      <c r="J229" s="449"/>
      <c r="K229" s="449"/>
      <c r="L229" s="449"/>
    </row>
    <row r="230" spans="1:13" x14ac:dyDescent="0.3">
      <c r="A230" s="6"/>
      <c r="B230" s="124"/>
      <c r="C230" s="124"/>
      <c r="D230" s="124"/>
      <c r="E230" s="124"/>
      <c r="F230" s="124"/>
      <c r="G230" s="175"/>
      <c r="H230" s="175"/>
      <c r="I230" s="175"/>
      <c r="J230" s="173"/>
      <c r="K230" s="173"/>
      <c r="L230" s="173"/>
    </row>
    <row r="231" spans="1:13" x14ac:dyDescent="0.3">
      <c r="A231" s="6"/>
      <c r="B231" s="124"/>
      <c r="C231" s="124"/>
      <c r="D231" s="124"/>
      <c r="E231" s="124"/>
      <c r="F231" s="124"/>
      <c r="G231" s="175"/>
      <c r="H231" s="175"/>
      <c r="I231" s="175"/>
      <c r="J231" s="173"/>
      <c r="K231" s="173"/>
      <c r="L231" s="173"/>
      <c r="M231" s="6"/>
    </row>
    <row r="232" spans="1:13" x14ac:dyDescent="0.3">
      <c r="A232" s="124"/>
      <c r="B232" s="124"/>
      <c r="C232" s="124"/>
      <c r="D232" s="124"/>
      <c r="E232" s="124"/>
      <c r="F232" s="124"/>
      <c r="G232" s="450"/>
      <c r="H232" s="450"/>
      <c r="I232" s="450"/>
      <c r="J232" s="450"/>
      <c r="K232" s="450"/>
      <c r="L232" s="450"/>
      <c r="M232" s="6"/>
    </row>
    <row r="233" spans="1:13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451"/>
      <c r="K233" s="451"/>
      <c r="L233" s="451"/>
      <c r="M233" s="6"/>
    </row>
    <row r="234" spans="1:13" x14ac:dyDescent="0.3">
      <c r="A234" s="124"/>
      <c r="B234" s="6"/>
      <c r="C234" s="6"/>
      <c r="D234" s="6"/>
      <c r="E234" s="112"/>
      <c r="F234" s="112"/>
      <c r="J234" s="444"/>
      <c r="K234" s="444"/>
      <c r="L234" s="444"/>
      <c r="M234" s="6"/>
    </row>
    <row r="235" spans="1:13" x14ac:dyDescent="0.3">
      <c r="A235" s="6"/>
      <c r="B235" s="124"/>
      <c r="C235" s="124"/>
      <c r="D235" s="124"/>
      <c r="E235" s="112"/>
      <c r="F235" s="112"/>
      <c r="M235" s="6"/>
    </row>
    <row r="236" spans="1:13" x14ac:dyDescent="0.3">
      <c r="A236" s="76"/>
      <c r="B236" s="6"/>
      <c r="C236" s="6"/>
      <c r="D236" s="6"/>
      <c r="E236" s="112"/>
      <c r="F236" s="112"/>
    </row>
    <row r="237" spans="1:13" x14ac:dyDescent="0.3">
      <c r="A237" s="176"/>
      <c r="B237" s="124"/>
      <c r="C237" s="124"/>
      <c r="D237" s="124"/>
      <c r="E237" s="112"/>
      <c r="F237" s="112"/>
      <c r="J237" s="444"/>
      <c r="K237" s="444"/>
      <c r="L237" s="444"/>
    </row>
    <row r="238" spans="1:13" x14ac:dyDescent="0.3">
      <c r="A238" s="176"/>
      <c r="B238" s="6"/>
      <c r="C238" s="6"/>
      <c r="D238" s="6"/>
      <c r="E238" s="112"/>
      <c r="F238" s="112"/>
      <c r="J238" s="444"/>
      <c r="K238" s="444"/>
      <c r="L238" s="444"/>
      <c r="M238" s="159"/>
    </row>
    <row r="239" spans="1:13" x14ac:dyDescent="0.3">
      <c r="B239" s="76"/>
      <c r="C239" s="76"/>
      <c r="D239" s="76"/>
      <c r="E239" s="76"/>
      <c r="F239" s="76"/>
      <c r="G239" s="76"/>
      <c r="H239" s="76"/>
      <c r="I239" s="76"/>
      <c r="K239" s="444"/>
      <c r="L239" s="444"/>
      <c r="M239" s="13"/>
    </row>
    <row r="240" spans="1:13" x14ac:dyDescent="0.3">
      <c r="A240" s="6"/>
      <c r="B240" s="176"/>
      <c r="C240" s="176"/>
      <c r="D240" s="176"/>
      <c r="E240" s="176"/>
      <c r="F240" s="176"/>
      <c r="G240" s="176"/>
      <c r="H240" s="176"/>
      <c r="I240" s="176"/>
      <c r="K240" s="447"/>
      <c r="L240" s="444"/>
      <c r="M240" s="13"/>
    </row>
    <row r="241" spans="1:13" x14ac:dyDescent="0.3">
      <c r="A241" s="159"/>
      <c r="B241" s="176"/>
      <c r="C241" s="176"/>
      <c r="D241" s="176"/>
      <c r="E241" s="176"/>
      <c r="F241" s="176"/>
      <c r="G241" s="176"/>
      <c r="H241" s="176"/>
      <c r="I241" s="176"/>
      <c r="J241" s="444"/>
      <c r="K241" s="444"/>
      <c r="L241" s="444"/>
      <c r="M241" s="112"/>
    </row>
    <row r="242" spans="1:13" x14ac:dyDescent="0.3">
      <c r="A242" s="136"/>
      <c r="M242" s="178"/>
    </row>
    <row r="243" spans="1:13" x14ac:dyDescent="0.3">
      <c r="A243" s="136"/>
      <c r="B243" s="6"/>
      <c r="C243" s="6"/>
      <c r="D243" s="6"/>
      <c r="E243" s="6"/>
      <c r="F243" s="6"/>
      <c r="G243" s="6"/>
      <c r="H243" s="6"/>
      <c r="I243" s="6"/>
      <c r="J243" s="6"/>
      <c r="K243" s="6"/>
      <c r="M243" s="178"/>
    </row>
    <row r="244" spans="1:13" x14ac:dyDescent="0.3">
      <c r="A244" s="52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12"/>
    </row>
    <row r="245" spans="1:13" x14ac:dyDescent="0.3">
      <c r="A245" s="52"/>
      <c r="B245" s="448"/>
      <c r="C245" s="448"/>
      <c r="D245" s="448"/>
      <c r="E245" s="448"/>
      <c r="F245" s="448"/>
      <c r="G245" s="448"/>
      <c r="H245" s="445"/>
      <c r="I245" s="445"/>
      <c r="J245" s="448"/>
      <c r="K245" s="448"/>
      <c r="L245" s="448"/>
      <c r="M245" s="112"/>
    </row>
    <row r="246" spans="1:13" x14ac:dyDescent="0.3">
      <c r="A246" s="52"/>
      <c r="B246" s="448"/>
      <c r="C246" s="448"/>
      <c r="D246" s="448"/>
      <c r="E246" s="448"/>
      <c r="F246" s="448"/>
      <c r="G246" s="448"/>
      <c r="H246" s="445"/>
      <c r="I246" s="445"/>
      <c r="J246" s="448"/>
      <c r="K246" s="448"/>
      <c r="L246" s="448"/>
      <c r="M246" s="112"/>
    </row>
    <row r="247" spans="1:13" x14ac:dyDescent="0.3">
      <c r="B247" s="444"/>
      <c r="C247" s="444"/>
      <c r="D247" s="444"/>
      <c r="E247" s="444"/>
      <c r="F247" s="444"/>
      <c r="G247" s="444"/>
      <c r="H247" s="445"/>
      <c r="I247" s="445"/>
      <c r="K247" s="178"/>
      <c r="L247" s="112"/>
      <c r="M247" s="112"/>
    </row>
    <row r="248" spans="1:13" x14ac:dyDescent="0.3">
      <c r="B248" s="444"/>
      <c r="C248" s="444"/>
      <c r="D248" s="444"/>
      <c r="E248" s="444"/>
      <c r="F248" s="444"/>
      <c r="G248" s="444"/>
      <c r="H248" s="445"/>
      <c r="I248" s="445"/>
      <c r="K248" s="178"/>
      <c r="L248" s="178"/>
      <c r="M248" s="112"/>
    </row>
    <row r="249" spans="1:13" x14ac:dyDescent="0.3">
      <c r="B249" s="444"/>
      <c r="C249" s="444"/>
      <c r="D249" s="444"/>
      <c r="E249" s="444"/>
      <c r="F249" s="444"/>
      <c r="G249" s="444"/>
      <c r="H249" s="445"/>
      <c r="I249" s="445"/>
      <c r="K249" s="112"/>
      <c r="L249" s="178"/>
      <c r="M249" s="112"/>
    </row>
    <row r="250" spans="1:13" x14ac:dyDescent="0.3">
      <c r="B250" s="444"/>
      <c r="C250" s="444"/>
      <c r="D250" s="444"/>
      <c r="E250" s="444"/>
      <c r="F250" s="444"/>
      <c r="G250" s="444"/>
      <c r="H250" s="444"/>
      <c r="I250" s="444"/>
      <c r="K250" s="112"/>
      <c r="L250" s="112"/>
      <c r="M250" s="178"/>
    </row>
    <row r="251" spans="1:13" x14ac:dyDescent="0.3">
      <c r="B251" s="444"/>
      <c r="C251" s="444"/>
      <c r="D251" s="444"/>
      <c r="E251" s="444"/>
      <c r="F251" s="444"/>
      <c r="G251" s="444"/>
      <c r="H251" s="444"/>
      <c r="I251" s="444"/>
      <c r="K251" s="112"/>
      <c r="L251" s="112"/>
      <c r="M251" s="76"/>
    </row>
    <row r="252" spans="1:13" x14ac:dyDescent="0.3">
      <c r="B252" s="444"/>
      <c r="C252" s="444"/>
      <c r="D252" s="444"/>
      <c r="E252" s="444"/>
      <c r="F252" s="444"/>
      <c r="G252" s="444"/>
      <c r="H252" s="444"/>
      <c r="I252" s="444"/>
      <c r="K252" s="112"/>
      <c r="L252" s="112"/>
      <c r="M252" s="159"/>
    </row>
    <row r="253" spans="1:13" x14ac:dyDescent="0.3">
      <c r="B253" s="444"/>
      <c r="C253" s="444"/>
      <c r="D253" s="444"/>
      <c r="E253" s="444"/>
      <c r="F253" s="444"/>
      <c r="G253" s="444"/>
      <c r="H253" s="444"/>
      <c r="I253" s="444"/>
      <c r="K253" s="112"/>
      <c r="L253" s="112"/>
    </row>
    <row r="254" spans="1:13" x14ac:dyDescent="0.3">
      <c r="B254" s="444"/>
      <c r="C254" s="444"/>
      <c r="D254" s="444"/>
      <c r="E254" s="444"/>
      <c r="F254" s="444"/>
      <c r="G254" s="444"/>
      <c r="H254" s="444"/>
      <c r="I254" s="444"/>
      <c r="K254" s="112"/>
      <c r="L254" s="112"/>
      <c r="M254" s="6"/>
    </row>
    <row r="255" spans="1:13" x14ac:dyDescent="0.3">
      <c r="A255" s="159"/>
      <c r="B255" s="444"/>
      <c r="C255" s="444"/>
      <c r="D255" s="444"/>
      <c r="E255" s="444"/>
      <c r="F255" s="444"/>
      <c r="G255" s="444"/>
      <c r="H255" s="444"/>
      <c r="I255" s="444"/>
      <c r="K255" s="112"/>
      <c r="L255" s="112"/>
      <c r="M255" s="6"/>
    </row>
    <row r="256" spans="1:13" x14ac:dyDescent="0.3">
      <c r="B256" s="444"/>
      <c r="C256" s="444"/>
      <c r="D256" s="444"/>
      <c r="E256" s="444"/>
      <c r="F256" s="444"/>
      <c r="G256" s="444"/>
      <c r="H256" s="444"/>
      <c r="I256" s="444"/>
      <c r="K256" s="178"/>
      <c r="L256" s="178"/>
      <c r="M256" s="6"/>
    </row>
    <row r="257" spans="1:13" x14ac:dyDescent="0.3">
      <c r="A257" s="179"/>
      <c r="B257" s="444"/>
      <c r="C257" s="444"/>
      <c r="D257" s="444"/>
      <c r="E257" s="444"/>
      <c r="F257" s="444"/>
      <c r="G257" s="444"/>
      <c r="J257" s="445"/>
      <c r="K257" s="445"/>
      <c r="L257" s="445"/>
      <c r="M257" s="76"/>
    </row>
    <row r="258" spans="1:13" x14ac:dyDescent="0.3"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6"/>
    </row>
    <row r="259" spans="1:13" ht="23.4" x14ac:dyDescent="0.45">
      <c r="A259" s="52"/>
      <c r="B259" s="446"/>
      <c r="C259" s="446"/>
      <c r="D259" s="446"/>
      <c r="E259" s="446"/>
      <c r="F259" s="446"/>
      <c r="G259" s="446"/>
      <c r="H259" s="446"/>
      <c r="I259" s="446"/>
      <c r="J259" s="52"/>
      <c r="M259" s="28"/>
    </row>
    <row r="260" spans="1:13" x14ac:dyDescent="0.3">
      <c r="B260" s="444"/>
      <c r="C260" s="444"/>
      <c r="D260" s="444"/>
      <c r="E260" s="444"/>
      <c r="F260" s="444"/>
      <c r="G260" s="444"/>
      <c r="H260" s="444"/>
      <c r="I260" s="444"/>
      <c r="J260" s="444"/>
      <c r="K260" s="444"/>
      <c r="L260" s="444"/>
      <c r="M260" s="13"/>
    </row>
    <row r="261" spans="1:13" x14ac:dyDescent="0.3">
      <c r="B261" s="454"/>
      <c r="C261" s="454"/>
      <c r="D261" s="454"/>
      <c r="E261" s="454"/>
      <c r="K261" s="444"/>
      <c r="L261" s="444"/>
      <c r="M261" s="13"/>
    </row>
    <row r="262" spans="1:13" x14ac:dyDescent="0.3">
      <c r="A262" s="52"/>
      <c r="B262" s="454"/>
      <c r="C262" s="454"/>
      <c r="D262" s="454"/>
      <c r="E262" s="454"/>
      <c r="F262" s="52"/>
      <c r="G262" s="52"/>
      <c r="H262" s="52"/>
      <c r="I262" s="52"/>
      <c r="J262" s="52"/>
      <c r="K262" s="444"/>
      <c r="L262" s="444"/>
      <c r="M262" s="34"/>
    </row>
    <row r="263" spans="1:13" x14ac:dyDescent="0.3">
      <c r="A263" s="13"/>
      <c r="B263" s="455"/>
      <c r="C263" s="455"/>
      <c r="D263" s="455"/>
      <c r="E263" s="455"/>
      <c r="F263" s="445"/>
      <c r="G263" s="445"/>
      <c r="H263" s="445"/>
      <c r="I263" s="445"/>
      <c r="J263" s="445"/>
      <c r="K263" s="445"/>
      <c r="L263" s="445"/>
      <c r="M263" s="34"/>
    </row>
    <row r="264" spans="1:13" x14ac:dyDescent="0.3">
      <c r="A264" s="13"/>
      <c r="K264" s="6"/>
      <c r="L264" s="6"/>
      <c r="M264" s="74"/>
    </row>
    <row r="265" spans="1:13" ht="23.4" x14ac:dyDescent="0.45">
      <c r="A265" s="6"/>
      <c r="B265" s="52"/>
      <c r="C265" s="52"/>
      <c r="D265" s="52"/>
      <c r="E265" s="52"/>
      <c r="F265" s="456"/>
      <c r="G265" s="456"/>
      <c r="H265" s="456"/>
      <c r="I265" s="456"/>
      <c r="J265" s="456"/>
      <c r="K265" s="181"/>
      <c r="L265" s="28"/>
      <c r="M265" s="34"/>
    </row>
    <row r="266" spans="1:13" x14ac:dyDescent="0.3">
      <c r="B266" s="13"/>
      <c r="C266" s="13"/>
      <c r="D266" s="13"/>
      <c r="E266" s="13"/>
      <c r="F266" s="13"/>
      <c r="G266" s="13"/>
      <c r="H266" s="13"/>
      <c r="I266" s="13"/>
      <c r="J266" s="13"/>
      <c r="K266" s="448"/>
      <c r="L266" s="448"/>
      <c r="M266" s="74"/>
    </row>
    <row r="267" spans="1:13" x14ac:dyDescent="0.3">
      <c r="A267" s="182"/>
      <c r="B267" s="13"/>
      <c r="C267" s="13"/>
      <c r="D267" s="13"/>
      <c r="E267" s="13"/>
      <c r="F267" s="13"/>
      <c r="G267" s="13"/>
      <c r="H267" s="13"/>
      <c r="I267" s="13"/>
      <c r="J267" s="13"/>
      <c r="K267" s="448"/>
      <c r="L267" s="448"/>
      <c r="M267" s="34"/>
    </row>
    <row r="268" spans="1:13" x14ac:dyDescent="0.3">
      <c r="B268" s="6"/>
      <c r="C268" s="6"/>
      <c r="D268" s="6"/>
      <c r="E268" s="6"/>
      <c r="F268" s="6"/>
      <c r="G268" s="6"/>
      <c r="H268" s="6"/>
      <c r="I268" s="6"/>
      <c r="J268" s="6"/>
      <c r="K268" s="452"/>
      <c r="L268" s="452"/>
      <c r="M268" s="34"/>
    </row>
    <row r="269" spans="1:13" x14ac:dyDescent="0.3">
      <c r="A269" s="182"/>
      <c r="K269" s="452"/>
      <c r="L269" s="452"/>
      <c r="M269" s="34"/>
    </row>
    <row r="270" spans="1:13" x14ac:dyDescent="0.3">
      <c r="A270" s="182"/>
      <c r="B270" s="182"/>
      <c r="C270" s="183"/>
      <c r="D270" s="184"/>
      <c r="E270" s="184"/>
      <c r="K270" s="453"/>
      <c r="L270" s="453"/>
      <c r="M270" s="34"/>
    </row>
    <row r="271" spans="1:13" x14ac:dyDescent="0.3">
      <c r="A271" s="182"/>
      <c r="B271" s="185"/>
      <c r="C271" s="184"/>
      <c r="D271" s="186"/>
      <c r="E271" s="184"/>
      <c r="F271" s="184"/>
      <c r="G271" s="184"/>
      <c r="H271" s="184"/>
      <c r="I271" s="187"/>
      <c r="K271" s="452"/>
      <c r="L271" s="452"/>
      <c r="M271" s="34"/>
    </row>
    <row r="272" spans="1:13" x14ac:dyDescent="0.3">
      <c r="A272" s="160"/>
      <c r="B272" s="182"/>
      <c r="C272" s="183"/>
      <c r="D272" s="188"/>
      <c r="E272" s="188"/>
      <c r="I272" s="189"/>
      <c r="K272" s="453"/>
      <c r="L272" s="453"/>
      <c r="M272" s="34"/>
    </row>
    <row r="273" spans="1:13" x14ac:dyDescent="0.3">
      <c r="A273" s="161"/>
      <c r="B273" s="185"/>
      <c r="C273" s="184"/>
      <c r="D273" s="184"/>
      <c r="E273" s="184"/>
      <c r="F273" s="184"/>
      <c r="G273" s="184"/>
      <c r="H273" s="184"/>
      <c r="I273" s="189"/>
      <c r="K273" s="452"/>
      <c r="L273" s="452"/>
      <c r="M273" s="34"/>
    </row>
    <row r="274" spans="1:13" ht="14.4" x14ac:dyDescent="0.3">
      <c r="A274" s="162"/>
      <c r="B274" s="190"/>
      <c r="C274" s="187"/>
      <c r="D274" s="191"/>
      <c r="E274" s="192"/>
      <c r="F274" s="128"/>
      <c r="G274" s="128"/>
      <c r="H274" s="128"/>
      <c r="I274" s="189"/>
      <c r="K274" s="452"/>
      <c r="L274" s="452"/>
      <c r="M274" s="34"/>
    </row>
    <row r="275" spans="1:13" ht="14.4" x14ac:dyDescent="0.3">
      <c r="A275" s="163"/>
      <c r="B275" s="164"/>
      <c r="C275" s="165"/>
      <c r="D275" s="166"/>
      <c r="E275" s="166"/>
      <c r="F275" s="128"/>
      <c r="G275" s="128"/>
      <c r="H275" s="128"/>
      <c r="I275" s="167"/>
      <c r="K275" s="452"/>
      <c r="L275" s="452"/>
      <c r="M275" s="34"/>
    </row>
    <row r="276" spans="1:13" ht="14.4" x14ac:dyDescent="0.3">
      <c r="A276" s="168"/>
      <c r="B276" s="169"/>
      <c r="C276" s="165"/>
      <c r="D276" s="170"/>
      <c r="E276" s="128"/>
      <c r="F276" s="128"/>
      <c r="G276" s="128"/>
      <c r="H276" s="128"/>
      <c r="I276" s="167"/>
      <c r="J276" s="6"/>
      <c r="K276" s="452"/>
      <c r="L276" s="452"/>
      <c r="M276" s="74"/>
    </row>
    <row r="277" spans="1:13" ht="14.4" x14ac:dyDescent="0.3">
      <c r="A277" s="160"/>
      <c r="B277" s="169"/>
      <c r="C277" s="165"/>
      <c r="D277" s="170"/>
      <c r="E277" s="128"/>
      <c r="F277" s="128"/>
      <c r="G277" s="128"/>
      <c r="H277" s="128"/>
      <c r="I277" s="167"/>
      <c r="J277" s="6"/>
      <c r="K277" s="452"/>
      <c r="L277" s="452"/>
      <c r="M277" s="6"/>
    </row>
    <row r="278" spans="1:13" ht="14.4" x14ac:dyDescent="0.3">
      <c r="B278" s="169"/>
      <c r="C278" s="128"/>
      <c r="D278" s="170"/>
      <c r="E278" s="128"/>
      <c r="F278" s="128"/>
      <c r="G278" s="128"/>
      <c r="H278" s="128"/>
      <c r="I278" s="167"/>
      <c r="K278" s="452"/>
      <c r="L278" s="452"/>
      <c r="M278" s="6"/>
    </row>
    <row r="279" spans="1:13" ht="14.4" x14ac:dyDescent="0.3">
      <c r="A279" s="6"/>
      <c r="B279" s="169"/>
      <c r="C279" s="128"/>
      <c r="D279" s="128"/>
      <c r="E279" s="128"/>
      <c r="F279" s="128"/>
      <c r="G279" s="128"/>
      <c r="H279" s="128"/>
      <c r="I279" s="167"/>
      <c r="K279" s="452"/>
      <c r="L279" s="452"/>
      <c r="M279" s="6"/>
    </row>
    <row r="280" spans="1:13" x14ac:dyDescent="0.3">
      <c r="A280" s="6"/>
      <c r="B280" s="40"/>
      <c r="C280" s="160"/>
      <c r="D280" s="40"/>
      <c r="K280" s="452"/>
      <c r="L280" s="452"/>
      <c r="M280" s="6"/>
    </row>
    <row r="281" spans="1:13" x14ac:dyDescent="0.3">
      <c r="B281" s="171"/>
      <c r="C281" s="160"/>
      <c r="D281" s="40"/>
      <c r="E281" s="172"/>
      <c r="K281" s="452"/>
      <c r="L281" s="452"/>
      <c r="M281" s="124"/>
    </row>
    <row r="282" spans="1:13" x14ac:dyDescent="0.3">
      <c r="B282" s="6"/>
      <c r="C282" s="6"/>
      <c r="D282" s="6"/>
      <c r="E282" s="6"/>
      <c r="F282" s="6"/>
      <c r="G282" s="445"/>
      <c r="H282" s="445"/>
      <c r="I282" s="445"/>
      <c r="J282" s="445"/>
      <c r="K282" s="453"/>
      <c r="L282" s="453"/>
      <c r="M282" s="173"/>
    </row>
    <row r="283" spans="1:13" x14ac:dyDescent="0.3">
      <c r="B283" s="6"/>
      <c r="C283" s="6"/>
      <c r="D283" s="6"/>
      <c r="E283" s="6"/>
      <c r="F283" s="6"/>
      <c r="G283" s="444"/>
      <c r="H283" s="444"/>
      <c r="I283" s="444"/>
      <c r="J283" s="444"/>
      <c r="K283" s="444"/>
      <c r="L283" s="444"/>
      <c r="M283" s="173"/>
    </row>
    <row r="284" spans="1:13" x14ac:dyDescent="0.3">
      <c r="A284" s="124"/>
      <c r="B284" s="449"/>
      <c r="C284" s="449"/>
      <c r="D284" s="449"/>
      <c r="E284" s="449"/>
      <c r="F284" s="449"/>
      <c r="G284" s="444"/>
      <c r="H284" s="444"/>
      <c r="I284" s="444"/>
      <c r="J284" s="444"/>
      <c r="K284" s="444"/>
      <c r="L284" s="444"/>
      <c r="M284" s="174"/>
    </row>
    <row r="285" spans="1:13" x14ac:dyDescent="0.3">
      <c r="A285" s="124"/>
      <c r="B285" s="449"/>
      <c r="C285" s="449"/>
      <c r="D285" s="449"/>
      <c r="E285" s="449"/>
      <c r="F285" s="449"/>
      <c r="G285" s="444"/>
      <c r="H285" s="444"/>
      <c r="I285" s="444"/>
      <c r="J285" s="444"/>
      <c r="K285" s="444"/>
      <c r="L285" s="444"/>
      <c r="M285" s="136"/>
    </row>
    <row r="286" spans="1:13" x14ac:dyDescent="0.3">
      <c r="A286" s="124"/>
      <c r="B286" s="449"/>
      <c r="C286" s="449"/>
      <c r="D286" s="449"/>
      <c r="E286" s="449"/>
      <c r="F286" s="449"/>
      <c r="G286" s="444"/>
      <c r="H286" s="444"/>
      <c r="I286" s="444"/>
      <c r="J286" s="444"/>
      <c r="K286" s="444"/>
      <c r="L286" s="444"/>
      <c r="M286" s="6"/>
    </row>
    <row r="287" spans="1:13" x14ac:dyDescent="0.3">
      <c r="A287" s="124"/>
      <c r="B287" s="124"/>
      <c r="C287" s="124"/>
      <c r="D287" s="124"/>
      <c r="E287" s="124"/>
      <c r="F287" s="124"/>
      <c r="G287" s="449"/>
      <c r="H287" s="449"/>
      <c r="I287" s="449"/>
      <c r="J287" s="449"/>
      <c r="K287" s="449"/>
      <c r="L287" s="449"/>
    </row>
    <row r="288" spans="1:13" x14ac:dyDescent="0.3">
      <c r="A288" s="6"/>
      <c r="B288" s="124"/>
      <c r="C288" s="124"/>
      <c r="D288" s="124"/>
      <c r="E288" s="124"/>
      <c r="F288" s="124"/>
      <c r="G288" s="175"/>
      <c r="H288" s="175"/>
      <c r="I288" s="175"/>
      <c r="J288" s="173"/>
      <c r="K288" s="173"/>
      <c r="L288" s="173"/>
    </row>
    <row r="289" spans="1:13" x14ac:dyDescent="0.3">
      <c r="A289" s="6"/>
      <c r="B289" s="124"/>
      <c r="C289" s="124"/>
      <c r="D289" s="124"/>
      <c r="E289" s="124"/>
      <c r="F289" s="124"/>
      <c r="G289" s="175"/>
      <c r="H289" s="175"/>
      <c r="I289" s="175"/>
      <c r="J289" s="173"/>
      <c r="K289" s="173"/>
      <c r="L289" s="173"/>
      <c r="M289" s="6"/>
    </row>
    <row r="290" spans="1:13" x14ac:dyDescent="0.3">
      <c r="A290" s="124"/>
      <c r="B290" s="124"/>
      <c r="C290" s="124"/>
      <c r="D290" s="124"/>
      <c r="E290" s="124"/>
      <c r="F290" s="124"/>
      <c r="G290" s="450"/>
      <c r="H290" s="450"/>
      <c r="I290" s="450"/>
      <c r="J290" s="450"/>
      <c r="K290" s="450"/>
      <c r="L290" s="450"/>
      <c r="M290" s="6"/>
    </row>
    <row r="291" spans="1:13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451"/>
      <c r="K291" s="451"/>
      <c r="L291" s="451"/>
      <c r="M291" s="6"/>
    </row>
    <row r="292" spans="1:13" x14ac:dyDescent="0.3">
      <c r="A292" s="124"/>
      <c r="B292" s="6"/>
      <c r="C292" s="6"/>
      <c r="D292" s="6"/>
      <c r="E292" s="112"/>
      <c r="F292" s="112"/>
      <c r="J292" s="444"/>
      <c r="K292" s="444"/>
      <c r="L292" s="444"/>
      <c r="M292" s="6"/>
    </row>
    <row r="293" spans="1:13" x14ac:dyDescent="0.3">
      <c r="A293" s="6"/>
      <c r="B293" s="124"/>
      <c r="C293" s="124"/>
      <c r="D293" s="124"/>
      <c r="E293" s="112"/>
      <c r="F293" s="112"/>
      <c r="M293" s="6"/>
    </row>
    <row r="294" spans="1:13" x14ac:dyDescent="0.3">
      <c r="A294" s="76"/>
      <c r="B294" s="6"/>
      <c r="C294" s="6"/>
      <c r="D294" s="6"/>
      <c r="E294" s="112"/>
      <c r="F294" s="112"/>
    </row>
    <row r="295" spans="1:13" x14ac:dyDescent="0.3">
      <c r="A295" s="176"/>
      <c r="B295" s="124"/>
      <c r="C295" s="124"/>
      <c r="D295" s="124"/>
      <c r="E295" s="112"/>
      <c r="F295" s="112"/>
      <c r="J295" s="444"/>
      <c r="K295" s="444"/>
      <c r="L295" s="444"/>
    </row>
    <row r="296" spans="1:13" x14ac:dyDescent="0.3">
      <c r="A296" s="176"/>
      <c r="B296" s="6"/>
      <c r="C296" s="6"/>
      <c r="D296" s="6"/>
      <c r="E296" s="112"/>
      <c r="F296" s="112"/>
      <c r="J296" s="444"/>
      <c r="K296" s="444"/>
      <c r="L296" s="444"/>
      <c r="M296" s="159"/>
    </row>
    <row r="297" spans="1:13" x14ac:dyDescent="0.3">
      <c r="B297" s="76"/>
      <c r="C297" s="76"/>
      <c r="D297" s="76"/>
      <c r="E297" s="76"/>
      <c r="F297" s="76"/>
      <c r="G297" s="76"/>
      <c r="H297" s="76"/>
      <c r="I297" s="76"/>
      <c r="K297" s="444"/>
      <c r="L297" s="444"/>
      <c r="M297" s="13"/>
    </row>
    <row r="298" spans="1:13" x14ac:dyDescent="0.3">
      <c r="A298" s="6"/>
      <c r="B298" s="176"/>
      <c r="C298" s="176"/>
      <c r="D298" s="176"/>
      <c r="E298" s="176"/>
      <c r="F298" s="176"/>
      <c r="G298" s="176"/>
      <c r="H298" s="176"/>
      <c r="I298" s="176"/>
      <c r="K298" s="447"/>
      <c r="L298" s="444"/>
      <c r="M298" s="13"/>
    </row>
    <row r="299" spans="1:13" x14ac:dyDescent="0.3">
      <c r="A299" s="159"/>
      <c r="B299" s="176"/>
      <c r="C299" s="176"/>
      <c r="D299" s="176"/>
      <c r="E299" s="176"/>
      <c r="F299" s="176"/>
      <c r="G299" s="176"/>
      <c r="H299" s="176"/>
      <c r="I299" s="176"/>
      <c r="J299" s="444"/>
      <c r="K299" s="444"/>
      <c r="L299" s="444"/>
      <c r="M299" s="112"/>
    </row>
    <row r="300" spans="1:13" x14ac:dyDescent="0.3">
      <c r="A300" s="136"/>
      <c r="M300" s="178"/>
    </row>
    <row r="301" spans="1:13" x14ac:dyDescent="0.3">
      <c r="A301" s="136"/>
      <c r="B301" s="6"/>
      <c r="C301" s="6"/>
      <c r="D301" s="6"/>
      <c r="E301" s="6"/>
      <c r="F301" s="6"/>
      <c r="G301" s="6"/>
      <c r="H301" s="6"/>
      <c r="I301" s="6"/>
      <c r="J301" s="6"/>
      <c r="K301" s="6"/>
      <c r="M301" s="178"/>
    </row>
    <row r="302" spans="1:13" x14ac:dyDescent="0.3">
      <c r="A302" s="52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12"/>
    </row>
    <row r="303" spans="1:13" x14ac:dyDescent="0.3">
      <c r="A303" s="52"/>
      <c r="B303" s="448"/>
      <c r="C303" s="448"/>
      <c r="D303" s="448"/>
      <c r="E303" s="448"/>
      <c r="F303" s="448"/>
      <c r="G303" s="448"/>
      <c r="H303" s="445"/>
      <c r="I303" s="445"/>
      <c r="J303" s="448"/>
      <c r="K303" s="448"/>
      <c r="L303" s="448"/>
      <c r="M303" s="112"/>
    </row>
    <row r="304" spans="1:13" x14ac:dyDescent="0.3">
      <c r="A304" s="52"/>
      <c r="B304" s="448"/>
      <c r="C304" s="448"/>
      <c r="D304" s="448"/>
      <c r="E304" s="448"/>
      <c r="F304" s="448"/>
      <c r="G304" s="448"/>
      <c r="H304" s="445"/>
      <c r="I304" s="445"/>
      <c r="J304" s="448"/>
      <c r="K304" s="448"/>
      <c r="L304" s="448"/>
      <c r="M304" s="112"/>
    </row>
    <row r="305" spans="1:13" x14ac:dyDescent="0.3">
      <c r="B305" s="444"/>
      <c r="C305" s="444"/>
      <c r="D305" s="444"/>
      <c r="E305" s="444"/>
      <c r="F305" s="444"/>
      <c r="G305" s="444"/>
      <c r="H305" s="445"/>
      <c r="I305" s="445"/>
      <c r="K305" s="178"/>
      <c r="L305" s="112"/>
      <c r="M305" s="112"/>
    </row>
    <row r="306" spans="1:13" x14ac:dyDescent="0.3">
      <c r="B306" s="444"/>
      <c r="C306" s="444"/>
      <c r="D306" s="444"/>
      <c r="E306" s="444"/>
      <c r="F306" s="444"/>
      <c r="G306" s="444"/>
      <c r="H306" s="445"/>
      <c r="I306" s="445"/>
      <c r="K306" s="178"/>
      <c r="L306" s="178"/>
      <c r="M306" s="112"/>
    </row>
    <row r="307" spans="1:13" x14ac:dyDescent="0.3">
      <c r="B307" s="444"/>
      <c r="C307" s="444"/>
      <c r="D307" s="444"/>
      <c r="E307" s="444"/>
      <c r="F307" s="444"/>
      <c r="G307" s="444"/>
      <c r="H307" s="445"/>
      <c r="I307" s="445"/>
      <c r="K307" s="112"/>
      <c r="L307" s="178"/>
      <c r="M307" s="112"/>
    </row>
    <row r="308" spans="1:13" x14ac:dyDescent="0.3">
      <c r="B308" s="444"/>
      <c r="C308" s="444"/>
      <c r="D308" s="444"/>
      <c r="E308" s="444"/>
      <c r="F308" s="444"/>
      <c r="G308" s="444"/>
      <c r="H308" s="444"/>
      <c r="I308" s="444"/>
      <c r="K308" s="112"/>
      <c r="L308" s="112"/>
      <c r="M308" s="178"/>
    </row>
    <row r="309" spans="1:13" x14ac:dyDescent="0.3">
      <c r="B309" s="444"/>
      <c r="C309" s="444"/>
      <c r="D309" s="444"/>
      <c r="E309" s="444"/>
      <c r="F309" s="444"/>
      <c r="G309" s="444"/>
      <c r="H309" s="444"/>
      <c r="I309" s="444"/>
      <c r="K309" s="112"/>
      <c r="L309" s="112"/>
      <c r="M309" s="76"/>
    </row>
    <row r="310" spans="1:13" x14ac:dyDescent="0.3">
      <c r="B310" s="444"/>
      <c r="C310" s="444"/>
      <c r="D310" s="444"/>
      <c r="E310" s="444"/>
      <c r="F310" s="444"/>
      <c r="G310" s="444"/>
      <c r="H310" s="444"/>
      <c r="I310" s="444"/>
      <c r="K310" s="112"/>
      <c r="L310" s="112"/>
      <c r="M310" s="159"/>
    </row>
    <row r="311" spans="1:13" x14ac:dyDescent="0.3">
      <c r="B311" s="444"/>
      <c r="C311" s="444"/>
      <c r="D311" s="444"/>
      <c r="E311" s="444"/>
      <c r="F311" s="444"/>
      <c r="G311" s="444"/>
      <c r="H311" s="444"/>
      <c r="I311" s="444"/>
      <c r="K311" s="112"/>
      <c r="L311" s="112"/>
    </row>
    <row r="312" spans="1:13" x14ac:dyDescent="0.3">
      <c r="B312" s="444"/>
      <c r="C312" s="444"/>
      <c r="D312" s="444"/>
      <c r="E312" s="444"/>
      <c r="F312" s="444"/>
      <c r="G312" s="444"/>
      <c r="H312" s="444"/>
      <c r="I312" s="444"/>
      <c r="K312" s="112"/>
      <c r="L312" s="112"/>
      <c r="M312" s="6"/>
    </row>
    <row r="313" spans="1:13" x14ac:dyDescent="0.3">
      <c r="A313" s="159"/>
      <c r="B313" s="444"/>
      <c r="C313" s="444"/>
      <c r="D313" s="444"/>
      <c r="E313" s="444"/>
      <c r="F313" s="444"/>
      <c r="G313" s="444"/>
      <c r="H313" s="444"/>
      <c r="I313" s="444"/>
      <c r="K313" s="112"/>
      <c r="L313" s="112"/>
      <c r="M313" s="6"/>
    </row>
    <row r="314" spans="1:13" x14ac:dyDescent="0.3">
      <c r="B314" s="444"/>
      <c r="C314" s="444"/>
      <c r="D314" s="444"/>
      <c r="E314" s="444"/>
      <c r="F314" s="444"/>
      <c r="G314" s="444"/>
      <c r="H314" s="444"/>
      <c r="I314" s="444"/>
      <c r="K314" s="178"/>
      <c r="L314" s="178"/>
      <c r="M314" s="6"/>
    </row>
    <row r="315" spans="1:13" x14ac:dyDescent="0.3">
      <c r="A315" s="179"/>
      <c r="B315" s="444"/>
      <c r="C315" s="444"/>
      <c r="D315" s="444"/>
      <c r="E315" s="444"/>
      <c r="F315" s="444"/>
      <c r="G315" s="444"/>
      <c r="J315" s="445"/>
      <c r="K315" s="445"/>
      <c r="L315" s="445"/>
      <c r="M315" s="76"/>
    </row>
    <row r="316" spans="1:13" x14ac:dyDescent="0.3"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6"/>
    </row>
    <row r="317" spans="1:13" ht="23.4" x14ac:dyDescent="0.45">
      <c r="A317" s="52"/>
      <c r="B317" s="446"/>
      <c r="C317" s="446"/>
      <c r="D317" s="446"/>
      <c r="E317" s="446"/>
      <c r="F317" s="446"/>
      <c r="G317" s="446"/>
      <c r="H317" s="446"/>
      <c r="I317" s="446"/>
      <c r="J317" s="52"/>
      <c r="M317" s="28"/>
    </row>
    <row r="318" spans="1:13" x14ac:dyDescent="0.3">
      <c r="B318" s="444"/>
      <c r="C318" s="444"/>
      <c r="D318" s="444"/>
      <c r="E318" s="444"/>
      <c r="F318" s="444"/>
      <c r="G318" s="444"/>
      <c r="H318" s="444"/>
      <c r="I318" s="444"/>
      <c r="J318" s="444"/>
      <c r="K318" s="444"/>
      <c r="L318" s="444"/>
      <c r="M318" s="13"/>
    </row>
    <row r="319" spans="1:13" x14ac:dyDescent="0.3">
      <c r="B319" s="454"/>
      <c r="C319" s="454"/>
      <c r="D319" s="454"/>
      <c r="E319" s="454"/>
      <c r="K319" s="444"/>
      <c r="L319" s="444"/>
      <c r="M319" s="13"/>
    </row>
    <row r="320" spans="1:13" x14ac:dyDescent="0.3">
      <c r="A320" s="52"/>
      <c r="B320" s="454"/>
      <c r="C320" s="454"/>
      <c r="D320" s="454"/>
      <c r="E320" s="454"/>
      <c r="F320" s="52"/>
      <c r="G320" s="52"/>
      <c r="H320" s="52"/>
      <c r="I320" s="52"/>
      <c r="J320" s="52"/>
      <c r="K320" s="444"/>
      <c r="L320" s="444"/>
      <c r="M320" s="34"/>
    </row>
    <row r="321" spans="1:13" x14ac:dyDescent="0.3">
      <c r="A321" s="13"/>
      <c r="B321" s="455"/>
      <c r="C321" s="455"/>
      <c r="D321" s="455"/>
      <c r="E321" s="455"/>
      <c r="F321" s="445"/>
      <c r="G321" s="445"/>
      <c r="H321" s="445"/>
      <c r="I321" s="445"/>
      <c r="J321" s="445"/>
      <c r="K321" s="445"/>
      <c r="L321" s="445"/>
      <c r="M321" s="34"/>
    </row>
    <row r="322" spans="1:13" x14ac:dyDescent="0.3">
      <c r="A322" s="13"/>
      <c r="K322" s="6"/>
      <c r="L322" s="6"/>
      <c r="M322" s="74"/>
    </row>
    <row r="323" spans="1:13" ht="23.4" x14ac:dyDescent="0.45">
      <c r="A323" s="6"/>
      <c r="B323" s="52"/>
      <c r="C323" s="52"/>
      <c r="D323" s="52"/>
      <c r="E323" s="52"/>
      <c r="F323" s="456"/>
      <c r="G323" s="456"/>
      <c r="H323" s="456"/>
      <c r="I323" s="456"/>
      <c r="J323" s="456"/>
      <c r="K323" s="181"/>
      <c r="L323" s="28"/>
      <c r="M323" s="34"/>
    </row>
    <row r="324" spans="1:13" x14ac:dyDescent="0.3">
      <c r="B324" s="13"/>
      <c r="C324" s="13"/>
      <c r="D324" s="13"/>
      <c r="E324" s="13"/>
      <c r="F324" s="13"/>
      <c r="G324" s="13"/>
      <c r="H324" s="13"/>
      <c r="I324" s="13"/>
      <c r="J324" s="13"/>
      <c r="K324" s="448"/>
      <c r="L324" s="448"/>
      <c r="M324" s="74"/>
    </row>
    <row r="325" spans="1:13" x14ac:dyDescent="0.3">
      <c r="A325" s="182"/>
      <c r="B325" s="13"/>
      <c r="C325" s="13"/>
      <c r="D325" s="13"/>
      <c r="E325" s="13"/>
      <c r="F325" s="13"/>
      <c r="G325" s="13"/>
      <c r="H325" s="13"/>
      <c r="I325" s="13"/>
      <c r="J325" s="13"/>
      <c r="K325" s="448"/>
      <c r="L325" s="448"/>
      <c r="M325" s="34"/>
    </row>
    <row r="326" spans="1:13" x14ac:dyDescent="0.3">
      <c r="B326" s="6"/>
      <c r="C326" s="6"/>
      <c r="D326" s="6"/>
      <c r="E326" s="6"/>
      <c r="F326" s="6"/>
      <c r="G326" s="6"/>
      <c r="H326" s="6"/>
      <c r="I326" s="6"/>
      <c r="J326" s="6"/>
      <c r="K326" s="452"/>
      <c r="L326" s="452"/>
      <c r="M326" s="34"/>
    </row>
    <row r="327" spans="1:13" x14ac:dyDescent="0.3">
      <c r="A327" s="182"/>
      <c r="K327" s="452"/>
      <c r="L327" s="452"/>
      <c r="M327" s="34"/>
    </row>
    <row r="328" spans="1:13" x14ac:dyDescent="0.3">
      <c r="A328" s="182"/>
      <c r="B328" s="182"/>
      <c r="C328" s="183"/>
      <c r="D328" s="184"/>
      <c r="E328" s="184"/>
      <c r="K328" s="453"/>
      <c r="L328" s="453"/>
      <c r="M328" s="34"/>
    </row>
    <row r="329" spans="1:13" x14ac:dyDescent="0.3">
      <c r="A329" s="182"/>
      <c r="B329" s="185"/>
      <c r="C329" s="184"/>
      <c r="D329" s="186"/>
      <c r="E329" s="184"/>
      <c r="F329" s="184"/>
      <c r="G329" s="184"/>
      <c r="H329" s="184"/>
      <c r="I329" s="187"/>
      <c r="K329" s="452"/>
      <c r="L329" s="452"/>
      <c r="M329" s="34"/>
    </row>
    <row r="330" spans="1:13" x14ac:dyDescent="0.3">
      <c r="A330" s="160"/>
      <c r="B330" s="182"/>
      <c r="C330" s="183"/>
      <c r="D330" s="188"/>
      <c r="E330" s="188"/>
      <c r="I330" s="189"/>
      <c r="K330" s="453"/>
      <c r="L330" s="453"/>
      <c r="M330" s="34"/>
    </row>
    <row r="331" spans="1:13" x14ac:dyDescent="0.3">
      <c r="A331" s="161"/>
      <c r="B331" s="185"/>
      <c r="C331" s="184"/>
      <c r="D331" s="184"/>
      <c r="E331" s="184"/>
      <c r="F331" s="184"/>
      <c r="G331" s="184"/>
      <c r="H331" s="184"/>
      <c r="I331" s="189"/>
      <c r="K331" s="452"/>
      <c r="L331" s="452"/>
      <c r="M331" s="34"/>
    </row>
    <row r="332" spans="1:13" ht="14.4" x14ac:dyDescent="0.3">
      <c r="A332" s="162"/>
      <c r="B332" s="190"/>
      <c r="C332" s="187"/>
      <c r="D332" s="191"/>
      <c r="E332" s="192"/>
      <c r="F332" s="128"/>
      <c r="G332" s="128"/>
      <c r="H332" s="128"/>
      <c r="I332" s="189"/>
      <c r="K332" s="452"/>
      <c r="L332" s="452"/>
      <c r="M332" s="34"/>
    </row>
    <row r="333" spans="1:13" ht="14.4" x14ac:dyDescent="0.3">
      <c r="A333" s="163"/>
      <c r="B333" s="164"/>
      <c r="C333" s="165"/>
      <c r="D333" s="166"/>
      <c r="E333" s="166"/>
      <c r="F333" s="128"/>
      <c r="G333" s="128"/>
      <c r="H333" s="128"/>
      <c r="I333" s="167"/>
      <c r="K333" s="452"/>
      <c r="L333" s="452"/>
      <c r="M333" s="34"/>
    </row>
    <row r="334" spans="1:13" ht="14.4" x14ac:dyDescent="0.3">
      <c r="A334" s="168"/>
      <c r="B334" s="169"/>
      <c r="C334" s="165"/>
      <c r="D334" s="170"/>
      <c r="E334" s="128"/>
      <c r="F334" s="128"/>
      <c r="G334" s="128"/>
      <c r="H334" s="128"/>
      <c r="I334" s="167"/>
      <c r="J334" s="6"/>
      <c r="K334" s="452"/>
      <c r="L334" s="452"/>
      <c r="M334" s="74"/>
    </row>
    <row r="335" spans="1:13" ht="14.4" x14ac:dyDescent="0.3">
      <c r="A335" s="160"/>
      <c r="B335" s="169"/>
      <c r="C335" s="165"/>
      <c r="D335" s="170"/>
      <c r="E335" s="128"/>
      <c r="F335" s="128"/>
      <c r="G335" s="128"/>
      <c r="H335" s="128"/>
      <c r="I335" s="167"/>
      <c r="J335" s="6"/>
      <c r="K335" s="452"/>
      <c r="L335" s="452"/>
      <c r="M335" s="6"/>
    </row>
    <row r="336" spans="1:13" ht="14.4" x14ac:dyDescent="0.3">
      <c r="B336" s="169"/>
      <c r="C336" s="128"/>
      <c r="D336" s="170"/>
      <c r="E336" s="128"/>
      <c r="F336" s="128"/>
      <c r="G336" s="128"/>
      <c r="H336" s="128"/>
      <c r="I336" s="167"/>
      <c r="K336" s="452"/>
      <c r="L336" s="452"/>
      <c r="M336" s="6"/>
    </row>
    <row r="337" spans="1:13" ht="14.4" x14ac:dyDescent="0.3">
      <c r="A337" s="6"/>
      <c r="B337" s="169"/>
      <c r="C337" s="128"/>
      <c r="D337" s="128"/>
      <c r="E337" s="128"/>
      <c r="F337" s="128"/>
      <c r="G337" s="128"/>
      <c r="H337" s="128"/>
      <c r="I337" s="167"/>
      <c r="K337" s="452"/>
      <c r="L337" s="452"/>
      <c r="M337" s="6"/>
    </row>
    <row r="338" spans="1:13" x14ac:dyDescent="0.3">
      <c r="A338" s="6"/>
      <c r="B338" s="40"/>
      <c r="C338" s="160"/>
      <c r="D338" s="40"/>
      <c r="K338" s="452"/>
      <c r="L338" s="452"/>
      <c r="M338" s="6"/>
    </row>
    <row r="339" spans="1:13" x14ac:dyDescent="0.3">
      <c r="B339" s="171"/>
      <c r="C339" s="160"/>
      <c r="D339" s="40"/>
      <c r="E339" s="172"/>
      <c r="K339" s="452"/>
      <c r="L339" s="452"/>
      <c r="M339" s="124"/>
    </row>
    <row r="340" spans="1:13" x14ac:dyDescent="0.3">
      <c r="B340" s="6"/>
      <c r="C340" s="6"/>
      <c r="D340" s="6"/>
      <c r="E340" s="6"/>
      <c r="F340" s="6"/>
      <c r="G340" s="445"/>
      <c r="H340" s="445"/>
      <c r="I340" s="445"/>
      <c r="J340" s="445"/>
      <c r="K340" s="453"/>
      <c r="L340" s="453"/>
      <c r="M340" s="173"/>
    </row>
    <row r="341" spans="1:13" x14ac:dyDescent="0.3">
      <c r="B341" s="6"/>
      <c r="C341" s="6"/>
      <c r="D341" s="6"/>
      <c r="E341" s="6"/>
      <c r="F341" s="6"/>
      <c r="G341" s="444"/>
      <c r="H341" s="444"/>
      <c r="I341" s="444"/>
      <c r="J341" s="444"/>
      <c r="K341" s="444"/>
      <c r="L341" s="444"/>
      <c r="M341" s="173"/>
    </row>
    <row r="342" spans="1:13" x14ac:dyDescent="0.3">
      <c r="A342" s="124"/>
      <c r="B342" s="449"/>
      <c r="C342" s="449"/>
      <c r="D342" s="449"/>
      <c r="E342" s="449"/>
      <c r="F342" s="449"/>
      <c r="G342" s="444"/>
      <c r="H342" s="444"/>
      <c r="I342" s="444"/>
      <c r="J342" s="444"/>
      <c r="K342" s="444"/>
      <c r="L342" s="444"/>
      <c r="M342" s="174"/>
    </row>
    <row r="343" spans="1:13" x14ac:dyDescent="0.3">
      <c r="A343" s="124"/>
      <c r="B343" s="449"/>
      <c r="C343" s="449"/>
      <c r="D343" s="449"/>
      <c r="E343" s="449"/>
      <c r="F343" s="449"/>
      <c r="G343" s="444"/>
      <c r="H343" s="444"/>
      <c r="I343" s="444"/>
      <c r="J343" s="444"/>
      <c r="K343" s="444"/>
      <c r="L343" s="444"/>
      <c r="M343" s="136"/>
    </row>
    <row r="344" spans="1:13" x14ac:dyDescent="0.3">
      <c r="A344" s="124"/>
      <c r="B344" s="449"/>
      <c r="C344" s="449"/>
      <c r="D344" s="449"/>
      <c r="E344" s="449"/>
      <c r="F344" s="449"/>
      <c r="G344" s="444"/>
      <c r="H344" s="444"/>
      <c r="I344" s="444"/>
      <c r="J344" s="444"/>
      <c r="K344" s="444"/>
      <c r="L344" s="444"/>
      <c r="M344" s="6"/>
    </row>
    <row r="345" spans="1:13" x14ac:dyDescent="0.3">
      <c r="A345" s="124"/>
      <c r="B345" s="124"/>
      <c r="C345" s="124"/>
      <c r="D345" s="124"/>
      <c r="E345" s="124"/>
      <c r="F345" s="124"/>
      <c r="G345" s="449"/>
      <c r="H345" s="449"/>
      <c r="I345" s="449"/>
      <c r="J345" s="449"/>
      <c r="K345" s="449"/>
      <c r="L345" s="449"/>
    </row>
    <row r="346" spans="1:13" x14ac:dyDescent="0.3">
      <c r="A346" s="6"/>
      <c r="B346" s="124"/>
      <c r="C346" s="124"/>
      <c r="D346" s="124"/>
      <c r="E346" s="124"/>
      <c r="F346" s="124"/>
      <c r="G346" s="175"/>
      <c r="H346" s="175"/>
      <c r="I346" s="175"/>
      <c r="J346" s="173"/>
      <c r="K346" s="173"/>
      <c r="L346" s="173"/>
    </row>
    <row r="347" spans="1:13" x14ac:dyDescent="0.3">
      <c r="A347" s="6"/>
      <c r="B347" s="124"/>
      <c r="C347" s="124"/>
      <c r="D347" s="124"/>
      <c r="E347" s="124"/>
      <c r="F347" s="124"/>
      <c r="G347" s="175"/>
      <c r="H347" s="175"/>
      <c r="I347" s="175"/>
      <c r="J347" s="173"/>
      <c r="K347" s="173"/>
      <c r="L347" s="173"/>
      <c r="M347" s="6"/>
    </row>
    <row r="348" spans="1:13" x14ac:dyDescent="0.3">
      <c r="A348" s="124"/>
      <c r="B348" s="124"/>
      <c r="C348" s="124"/>
      <c r="D348" s="124"/>
      <c r="E348" s="124"/>
      <c r="F348" s="124"/>
      <c r="G348" s="450"/>
      <c r="H348" s="450"/>
      <c r="I348" s="450"/>
      <c r="J348" s="450"/>
      <c r="K348" s="450"/>
      <c r="L348" s="450"/>
      <c r="M348" s="6"/>
    </row>
    <row r="349" spans="1:13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451"/>
      <c r="K349" s="451"/>
      <c r="L349" s="451"/>
      <c r="M349" s="6"/>
    </row>
    <row r="350" spans="1:13" x14ac:dyDescent="0.3">
      <c r="A350" s="124"/>
      <c r="B350" s="6"/>
      <c r="C350" s="6"/>
      <c r="D350" s="6"/>
      <c r="E350" s="112"/>
      <c r="F350" s="112"/>
      <c r="J350" s="444"/>
      <c r="K350" s="444"/>
      <c r="L350" s="444"/>
      <c r="M350" s="6"/>
    </row>
    <row r="351" spans="1:13" x14ac:dyDescent="0.3">
      <c r="A351" s="6"/>
      <c r="B351" s="124"/>
      <c r="C351" s="124"/>
      <c r="D351" s="124"/>
      <c r="E351" s="112"/>
      <c r="F351" s="112"/>
      <c r="M351" s="6"/>
    </row>
    <row r="352" spans="1:13" x14ac:dyDescent="0.3">
      <c r="A352" s="76"/>
      <c r="B352" s="6"/>
      <c r="C352" s="6"/>
      <c r="D352" s="6"/>
      <c r="E352" s="112"/>
      <c r="F352" s="112"/>
    </row>
    <row r="353" spans="1:13" x14ac:dyDescent="0.3">
      <c r="A353" s="176"/>
      <c r="B353" s="124"/>
      <c r="C353" s="124"/>
      <c r="D353" s="124"/>
      <c r="E353" s="112"/>
      <c r="F353" s="112"/>
      <c r="J353" s="444"/>
      <c r="K353" s="444"/>
      <c r="L353" s="444"/>
    </row>
    <row r="354" spans="1:13" x14ac:dyDescent="0.3">
      <c r="A354" s="176"/>
      <c r="B354" s="6"/>
      <c r="C354" s="6"/>
      <c r="D354" s="6"/>
      <c r="E354" s="112"/>
      <c r="F354" s="112"/>
      <c r="J354" s="444"/>
      <c r="K354" s="444"/>
      <c r="L354" s="444"/>
      <c r="M354" s="159"/>
    </row>
    <row r="355" spans="1:13" x14ac:dyDescent="0.3">
      <c r="B355" s="76"/>
      <c r="C355" s="76"/>
      <c r="D355" s="76"/>
      <c r="E355" s="76"/>
      <c r="F355" s="76"/>
      <c r="G355" s="76"/>
      <c r="H355" s="76"/>
      <c r="I355" s="76"/>
      <c r="K355" s="444"/>
      <c r="L355" s="444"/>
      <c r="M355" s="13"/>
    </row>
    <row r="356" spans="1:13" x14ac:dyDescent="0.3">
      <c r="A356" s="6"/>
      <c r="B356" s="176"/>
      <c r="C356" s="176"/>
      <c r="D356" s="176"/>
      <c r="E356" s="176"/>
      <c r="F356" s="176"/>
      <c r="G356" s="176"/>
      <c r="H356" s="176"/>
      <c r="I356" s="176"/>
      <c r="K356" s="447"/>
      <c r="L356" s="444"/>
      <c r="M356" s="13"/>
    </row>
    <row r="357" spans="1:13" x14ac:dyDescent="0.3">
      <c r="A357" s="159"/>
      <c r="B357" s="176"/>
      <c r="C357" s="176"/>
      <c r="D357" s="176"/>
      <c r="E357" s="176"/>
      <c r="F357" s="176"/>
      <c r="G357" s="176"/>
      <c r="H357" s="176"/>
      <c r="I357" s="176"/>
      <c r="J357" s="444"/>
      <c r="K357" s="444"/>
      <c r="L357" s="444"/>
      <c r="M357" s="112"/>
    </row>
    <row r="358" spans="1:13" x14ac:dyDescent="0.3">
      <c r="A358" s="136"/>
      <c r="M358" s="178"/>
    </row>
    <row r="359" spans="1:13" x14ac:dyDescent="0.3">
      <c r="A359" s="136"/>
      <c r="B359" s="6"/>
      <c r="C359" s="6"/>
      <c r="D359" s="6"/>
      <c r="E359" s="6"/>
      <c r="F359" s="6"/>
      <c r="G359" s="6"/>
      <c r="H359" s="6"/>
      <c r="I359" s="6"/>
      <c r="J359" s="6"/>
      <c r="K359" s="6"/>
      <c r="M359" s="178"/>
    </row>
    <row r="360" spans="1:13" x14ac:dyDescent="0.3">
      <c r="A360" s="52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12"/>
    </row>
    <row r="361" spans="1:13" x14ac:dyDescent="0.3">
      <c r="A361" s="52"/>
      <c r="B361" s="448"/>
      <c r="C361" s="448"/>
      <c r="D361" s="448"/>
      <c r="E361" s="448"/>
      <c r="F361" s="448"/>
      <c r="G361" s="448"/>
      <c r="H361" s="445"/>
      <c r="I361" s="445"/>
      <c r="J361" s="448"/>
      <c r="K361" s="448"/>
      <c r="L361" s="448"/>
      <c r="M361" s="112"/>
    </row>
    <row r="362" spans="1:13" x14ac:dyDescent="0.3">
      <c r="A362" s="52"/>
      <c r="B362" s="448"/>
      <c r="C362" s="448"/>
      <c r="D362" s="448"/>
      <c r="E362" s="448"/>
      <c r="F362" s="448"/>
      <c r="G362" s="448"/>
      <c r="H362" s="445"/>
      <c r="I362" s="445"/>
      <c r="J362" s="448"/>
      <c r="K362" s="448"/>
      <c r="L362" s="448"/>
      <c r="M362" s="112"/>
    </row>
    <row r="363" spans="1:13" x14ac:dyDescent="0.3">
      <c r="B363" s="444"/>
      <c r="C363" s="444"/>
      <c r="D363" s="444"/>
      <c r="E363" s="444"/>
      <c r="F363" s="444"/>
      <c r="G363" s="444"/>
      <c r="H363" s="445"/>
      <c r="I363" s="445"/>
      <c r="K363" s="178"/>
      <c r="L363" s="112"/>
      <c r="M363" s="112"/>
    </row>
    <row r="364" spans="1:13" x14ac:dyDescent="0.3">
      <c r="B364" s="444"/>
      <c r="C364" s="444"/>
      <c r="D364" s="444"/>
      <c r="E364" s="444"/>
      <c r="F364" s="444"/>
      <c r="G364" s="444"/>
      <c r="H364" s="445"/>
      <c r="I364" s="445"/>
      <c r="K364" s="178"/>
      <c r="L364" s="178"/>
      <c r="M364" s="112"/>
    </row>
    <row r="365" spans="1:13" x14ac:dyDescent="0.3">
      <c r="B365" s="444"/>
      <c r="C365" s="444"/>
      <c r="D365" s="444"/>
      <c r="E365" s="444"/>
      <c r="F365" s="444"/>
      <c r="G365" s="444"/>
      <c r="H365" s="445"/>
      <c r="I365" s="445"/>
      <c r="K365" s="112"/>
      <c r="L365" s="178"/>
      <c r="M365" s="112"/>
    </row>
    <row r="366" spans="1:13" x14ac:dyDescent="0.3">
      <c r="B366" s="444"/>
      <c r="C366" s="444"/>
      <c r="D366" s="444"/>
      <c r="E366" s="444"/>
      <c r="F366" s="444"/>
      <c r="G366" s="444"/>
      <c r="H366" s="444"/>
      <c r="I366" s="444"/>
      <c r="K366" s="112"/>
      <c r="L366" s="112"/>
      <c r="M366" s="178"/>
    </row>
    <row r="367" spans="1:13" x14ac:dyDescent="0.3">
      <c r="B367" s="444"/>
      <c r="C367" s="444"/>
      <c r="D367" s="444"/>
      <c r="E367" s="444"/>
      <c r="F367" s="444"/>
      <c r="G367" s="444"/>
      <c r="H367" s="444"/>
      <c r="I367" s="444"/>
      <c r="K367" s="112"/>
      <c r="L367" s="112"/>
      <c r="M367" s="76"/>
    </row>
    <row r="368" spans="1:13" x14ac:dyDescent="0.3">
      <c r="B368" s="444"/>
      <c r="C368" s="444"/>
      <c r="D368" s="444"/>
      <c r="E368" s="444"/>
      <c r="F368" s="444"/>
      <c r="G368" s="444"/>
      <c r="H368" s="444"/>
      <c r="I368" s="444"/>
      <c r="K368" s="112"/>
      <c r="L368" s="112"/>
      <c r="M368" s="159"/>
    </row>
    <row r="369" spans="1:13" x14ac:dyDescent="0.3">
      <c r="B369" s="444"/>
      <c r="C369" s="444"/>
      <c r="D369" s="444"/>
      <c r="E369" s="444"/>
      <c r="F369" s="444"/>
      <c r="G369" s="444"/>
      <c r="H369" s="444"/>
      <c r="I369" s="444"/>
      <c r="K369" s="112"/>
      <c r="L369" s="112"/>
    </row>
    <row r="370" spans="1:13" x14ac:dyDescent="0.3">
      <c r="B370" s="444"/>
      <c r="C370" s="444"/>
      <c r="D370" s="444"/>
      <c r="E370" s="444"/>
      <c r="F370" s="444"/>
      <c r="G370" s="444"/>
      <c r="H370" s="444"/>
      <c r="I370" s="444"/>
      <c r="K370" s="112"/>
      <c r="L370" s="112"/>
      <c r="M370" s="6"/>
    </row>
    <row r="371" spans="1:13" x14ac:dyDescent="0.3">
      <c r="A371" s="159"/>
      <c r="B371" s="444"/>
      <c r="C371" s="444"/>
      <c r="D371" s="444"/>
      <c r="E371" s="444"/>
      <c r="F371" s="444"/>
      <c r="G371" s="444"/>
      <c r="H371" s="444"/>
      <c r="I371" s="444"/>
      <c r="K371" s="112"/>
      <c r="L371" s="112"/>
      <c r="M371" s="6"/>
    </row>
    <row r="372" spans="1:13" x14ac:dyDescent="0.3">
      <c r="B372" s="444"/>
      <c r="C372" s="444"/>
      <c r="D372" s="444"/>
      <c r="E372" s="444"/>
      <c r="F372" s="444"/>
      <c r="G372" s="444"/>
      <c r="H372" s="444"/>
      <c r="I372" s="444"/>
      <c r="K372" s="178"/>
      <c r="L372" s="178"/>
      <c r="M372" s="6"/>
    </row>
    <row r="373" spans="1:13" x14ac:dyDescent="0.3">
      <c r="A373" s="179"/>
      <c r="B373" s="444"/>
      <c r="C373" s="444"/>
      <c r="D373" s="444"/>
      <c r="E373" s="444"/>
      <c r="F373" s="444"/>
      <c r="G373" s="444"/>
      <c r="J373" s="445"/>
      <c r="K373" s="445"/>
      <c r="L373" s="445"/>
      <c r="M373" s="76"/>
    </row>
    <row r="374" spans="1:13" x14ac:dyDescent="0.3"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6"/>
    </row>
    <row r="375" spans="1:13" ht="23.4" x14ac:dyDescent="0.45">
      <c r="A375" s="52"/>
      <c r="B375" s="446"/>
      <c r="C375" s="446"/>
      <c r="D375" s="446"/>
      <c r="E375" s="446"/>
      <c r="F375" s="446"/>
      <c r="G375" s="446"/>
      <c r="H375" s="446"/>
      <c r="I375" s="446"/>
      <c r="J375" s="52"/>
      <c r="M375" s="28"/>
    </row>
    <row r="376" spans="1:13" x14ac:dyDescent="0.3">
      <c r="B376" s="444"/>
      <c r="C376" s="444"/>
      <c r="D376" s="444"/>
      <c r="E376" s="444"/>
      <c r="F376" s="444"/>
      <c r="G376" s="444"/>
      <c r="H376" s="444"/>
      <c r="I376" s="444"/>
      <c r="J376" s="444"/>
      <c r="K376" s="444"/>
      <c r="L376" s="444"/>
      <c r="M376" s="13"/>
    </row>
    <row r="377" spans="1:13" x14ac:dyDescent="0.3">
      <c r="B377" s="454"/>
      <c r="C377" s="454"/>
      <c r="D377" s="454"/>
      <c r="E377" s="454"/>
      <c r="K377" s="444"/>
      <c r="L377" s="444"/>
      <c r="M377" s="13"/>
    </row>
    <row r="378" spans="1:13" x14ac:dyDescent="0.3">
      <c r="A378" s="52"/>
      <c r="B378" s="454"/>
      <c r="C378" s="454"/>
      <c r="D378" s="454"/>
      <c r="E378" s="454"/>
      <c r="F378" s="52"/>
      <c r="G378" s="52"/>
      <c r="H378" s="52"/>
      <c r="I378" s="52"/>
      <c r="J378" s="52"/>
      <c r="K378" s="444"/>
      <c r="L378" s="444"/>
      <c r="M378" s="34"/>
    </row>
    <row r="379" spans="1:13" x14ac:dyDescent="0.3">
      <c r="A379" s="13"/>
      <c r="B379" s="455"/>
      <c r="C379" s="455"/>
      <c r="D379" s="455"/>
      <c r="E379" s="455"/>
      <c r="F379" s="445"/>
      <c r="G379" s="445"/>
      <c r="H379" s="445"/>
      <c r="I379" s="445"/>
      <c r="J379" s="445"/>
      <c r="K379" s="445"/>
      <c r="L379" s="445"/>
      <c r="M379" s="34"/>
    </row>
    <row r="380" spans="1:13" x14ac:dyDescent="0.3">
      <c r="A380" s="13"/>
      <c r="K380" s="6"/>
      <c r="L380" s="6"/>
      <c r="M380" s="74"/>
    </row>
    <row r="381" spans="1:13" ht="23.4" x14ac:dyDescent="0.45">
      <c r="A381" s="6"/>
      <c r="B381" s="52"/>
      <c r="C381" s="52"/>
      <c r="D381" s="52"/>
      <c r="E381" s="52"/>
      <c r="F381" s="456"/>
      <c r="G381" s="456"/>
      <c r="H381" s="456"/>
      <c r="I381" s="456"/>
      <c r="J381" s="456"/>
      <c r="K381" s="181"/>
      <c r="L381" s="28"/>
      <c r="M381" s="34"/>
    </row>
    <row r="382" spans="1:13" x14ac:dyDescent="0.3">
      <c r="B382" s="13"/>
      <c r="C382" s="13"/>
      <c r="D382" s="13"/>
      <c r="E382" s="13"/>
      <c r="F382" s="13"/>
      <c r="G382" s="13"/>
      <c r="H382" s="13"/>
      <c r="I382" s="13"/>
      <c r="J382" s="13"/>
      <c r="K382" s="448"/>
      <c r="L382" s="448"/>
      <c r="M382" s="74"/>
    </row>
    <row r="383" spans="1:13" x14ac:dyDescent="0.3">
      <c r="A383" s="182"/>
      <c r="B383" s="13"/>
      <c r="C383" s="13"/>
      <c r="D383" s="13"/>
      <c r="E383" s="13"/>
      <c r="F383" s="13"/>
      <c r="G383" s="13"/>
      <c r="H383" s="13"/>
      <c r="I383" s="13"/>
      <c r="J383" s="13"/>
      <c r="K383" s="448"/>
      <c r="L383" s="448"/>
      <c r="M383" s="34"/>
    </row>
    <row r="384" spans="1:13" x14ac:dyDescent="0.3">
      <c r="B384" s="6"/>
      <c r="C384" s="6"/>
      <c r="D384" s="6"/>
      <c r="E384" s="6"/>
      <c r="F384" s="6"/>
      <c r="G384" s="6"/>
      <c r="H384" s="6"/>
      <c r="I384" s="6"/>
      <c r="J384" s="6"/>
      <c r="K384" s="452"/>
      <c r="L384" s="452"/>
      <c r="M384" s="34"/>
    </row>
    <row r="385" spans="1:13" x14ac:dyDescent="0.3">
      <c r="A385" s="182"/>
      <c r="K385" s="452"/>
      <c r="L385" s="452"/>
      <c r="M385" s="34"/>
    </row>
    <row r="386" spans="1:13" x14ac:dyDescent="0.3">
      <c r="A386" s="182"/>
      <c r="B386" s="182"/>
      <c r="C386" s="183"/>
      <c r="D386" s="184"/>
      <c r="E386" s="184"/>
      <c r="K386" s="453"/>
      <c r="L386" s="453"/>
      <c r="M386" s="34"/>
    </row>
    <row r="387" spans="1:13" x14ac:dyDescent="0.3">
      <c r="A387" s="182"/>
      <c r="B387" s="185"/>
      <c r="C387" s="184"/>
      <c r="D387" s="186"/>
      <c r="E387" s="184"/>
      <c r="F387" s="184"/>
      <c r="G387" s="184"/>
      <c r="H387" s="184"/>
      <c r="I387" s="187"/>
      <c r="K387" s="452"/>
      <c r="L387" s="452"/>
      <c r="M387" s="34"/>
    </row>
    <row r="388" spans="1:13" x14ac:dyDescent="0.3">
      <c r="A388" s="160"/>
      <c r="B388" s="182"/>
      <c r="C388" s="183"/>
      <c r="D388" s="188"/>
      <c r="E388" s="188"/>
      <c r="I388" s="189"/>
      <c r="K388" s="453"/>
      <c r="L388" s="453"/>
      <c r="M388" s="34"/>
    </row>
    <row r="389" spans="1:13" x14ac:dyDescent="0.3">
      <c r="A389" s="161"/>
      <c r="B389" s="185"/>
      <c r="C389" s="184"/>
      <c r="D389" s="184"/>
      <c r="E389" s="184"/>
      <c r="F389" s="184"/>
      <c r="G389" s="184"/>
      <c r="H389" s="184"/>
      <c r="I389" s="189"/>
      <c r="K389" s="452"/>
      <c r="L389" s="452"/>
      <c r="M389" s="34"/>
    </row>
    <row r="390" spans="1:13" ht="14.4" x14ac:dyDescent="0.3">
      <c r="A390" s="162"/>
      <c r="B390" s="190"/>
      <c r="C390" s="187"/>
      <c r="D390" s="191"/>
      <c r="E390" s="192"/>
      <c r="F390" s="128"/>
      <c r="G390" s="128"/>
      <c r="H390" s="128"/>
      <c r="I390" s="189"/>
      <c r="K390" s="452"/>
      <c r="L390" s="452"/>
      <c r="M390" s="34"/>
    </row>
    <row r="391" spans="1:13" ht="14.4" x14ac:dyDescent="0.3">
      <c r="A391" s="163"/>
      <c r="B391" s="164"/>
      <c r="C391" s="165"/>
      <c r="D391" s="166"/>
      <c r="E391" s="166"/>
      <c r="F391" s="128"/>
      <c r="G391" s="128"/>
      <c r="H391" s="128"/>
      <c r="I391" s="167"/>
      <c r="K391" s="452"/>
      <c r="L391" s="452"/>
      <c r="M391" s="34"/>
    </row>
    <row r="392" spans="1:13" ht="14.4" x14ac:dyDescent="0.3">
      <c r="A392" s="168"/>
      <c r="B392" s="169"/>
      <c r="C392" s="165"/>
      <c r="D392" s="170"/>
      <c r="E392" s="128"/>
      <c r="F392" s="128"/>
      <c r="G392" s="128"/>
      <c r="H392" s="128"/>
      <c r="I392" s="167"/>
      <c r="J392" s="6"/>
      <c r="K392" s="452"/>
      <c r="L392" s="452"/>
      <c r="M392" s="74"/>
    </row>
    <row r="393" spans="1:13" ht="14.4" x14ac:dyDescent="0.3">
      <c r="A393" s="160"/>
      <c r="B393" s="169"/>
      <c r="C393" s="165"/>
      <c r="D393" s="170"/>
      <c r="E393" s="128"/>
      <c r="F393" s="128"/>
      <c r="G393" s="128"/>
      <c r="H393" s="128"/>
      <c r="I393" s="167"/>
      <c r="J393" s="6"/>
      <c r="K393" s="452"/>
      <c r="L393" s="452"/>
      <c r="M393" s="6"/>
    </row>
    <row r="394" spans="1:13" ht="14.4" x14ac:dyDescent="0.3">
      <c r="B394" s="169"/>
      <c r="C394" s="128"/>
      <c r="D394" s="170"/>
      <c r="E394" s="128"/>
      <c r="F394" s="128"/>
      <c r="G394" s="128"/>
      <c r="H394" s="128"/>
      <c r="I394" s="167"/>
      <c r="K394" s="452"/>
      <c r="L394" s="452"/>
      <c r="M394" s="6"/>
    </row>
    <row r="395" spans="1:13" ht="14.4" x14ac:dyDescent="0.3">
      <c r="A395" s="6"/>
      <c r="B395" s="169"/>
      <c r="C395" s="128"/>
      <c r="D395" s="128"/>
      <c r="E395" s="128"/>
      <c r="F395" s="128"/>
      <c r="G395" s="128"/>
      <c r="H395" s="128"/>
      <c r="I395" s="167"/>
      <c r="K395" s="452"/>
      <c r="L395" s="452"/>
      <c r="M395" s="6"/>
    </row>
    <row r="396" spans="1:13" x14ac:dyDescent="0.3">
      <c r="A396" s="6"/>
      <c r="B396" s="40"/>
      <c r="C396" s="160"/>
      <c r="D396" s="40"/>
      <c r="K396" s="452"/>
      <c r="L396" s="452"/>
      <c r="M396" s="6"/>
    </row>
    <row r="397" spans="1:13" x14ac:dyDescent="0.3">
      <c r="B397" s="171"/>
      <c r="C397" s="160"/>
      <c r="D397" s="40"/>
      <c r="E397" s="172"/>
      <c r="K397" s="452"/>
      <c r="L397" s="452"/>
      <c r="M397" s="124"/>
    </row>
    <row r="398" spans="1:13" x14ac:dyDescent="0.3">
      <c r="B398" s="6"/>
      <c r="C398" s="6"/>
      <c r="D398" s="6"/>
      <c r="E398" s="6"/>
      <c r="F398" s="6"/>
      <c r="G398" s="445"/>
      <c r="H398" s="445"/>
      <c r="I398" s="445"/>
      <c r="J398" s="445"/>
      <c r="K398" s="453"/>
      <c r="L398" s="453"/>
      <c r="M398" s="173"/>
    </row>
    <row r="399" spans="1:13" x14ac:dyDescent="0.3">
      <c r="B399" s="6"/>
      <c r="C399" s="6"/>
      <c r="D399" s="6"/>
      <c r="E399" s="6"/>
      <c r="F399" s="6"/>
      <c r="G399" s="444"/>
      <c r="H399" s="444"/>
      <c r="I399" s="444"/>
      <c r="J399" s="444"/>
      <c r="K399" s="444"/>
      <c r="L399" s="444"/>
      <c r="M399" s="173"/>
    </row>
    <row r="400" spans="1:13" x14ac:dyDescent="0.3">
      <c r="A400" s="124"/>
      <c r="B400" s="449"/>
      <c r="C400" s="449"/>
      <c r="D400" s="449"/>
      <c r="E400" s="449"/>
      <c r="F400" s="449"/>
      <c r="G400" s="444"/>
      <c r="H400" s="444"/>
      <c r="I400" s="444"/>
      <c r="J400" s="444"/>
      <c r="K400" s="444"/>
      <c r="L400" s="444"/>
      <c r="M400" s="174"/>
    </row>
    <row r="401" spans="1:13" x14ac:dyDescent="0.3">
      <c r="A401" s="124"/>
      <c r="B401" s="449"/>
      <c r="C401" s="449"/>
      <c r="D401" s="449"/>
      <c r="E401" s="449"/>
      <c r="F401" s="449"/>
      <c r="G401" s="444"/>
      <c r="H401" s="444"/>
      <c r="I401" s="444"/>
      <c r="J401" s="444"/>
      <c r="K401" s="444"/>
      <c r="L401" s="444"/>
      <c r="M401" s="136"/>
    </row>
    <row r="402" spans="1:13" x14ac:dyDescent="0.3">
      <c r="A402" s="124"/>
      <c r="B402" s="449"/>
      <c r="C402" s="449"/>
      <c r="D402" s="449"/>
      <c r="E402" s="449"/>
      <c r="F402" s="449"/>
      <c r="G402" s="444"/>
      <c r="H402" s="444"/>
      <c r="I402" s="444"/>
      <c r="J402" s="444"/>
      <c r="K402" s="444"/>
      <c r="L402" s="444"/>
      <c r="M402" s="6"/>
    </row>
    <row r="403" spans="1:13" x14ac:dyDescent="0.3">
      <c r="A403" s="124"/>
      <c r="B403" s="124"/>
      <c r="C403" s="124"/>
      <c r="D403" s="124"/>
      <c r="E403" s="124"/>
      <c r="F403" s="124"/>
      <c r="G403" s="449"/>
      <c r="H403" s="449"/>
      <c r="I403" s="449"/>
      <c r="J403" s="449"/>
      <c r="K403" s="449"/>
      <c r="L403" s="449"/>
    </row>
    <row r="404" spans="1:13" x14ac:dyDescent="0.3">
      <c r="A404" s="6"/>
      <c r="B404" s="124"/>
      <c r="C404" s="124"/>
      <c r="D404" s="124"/>
      <c r="E404" s="124"/>
      <c r="F404" s="124"/>
      <c r="G404" s="175"/>
      <c r="H404" s="175"/>
      <c r="I404" s="175"/>
      <c r="J404" s="173"/>
      <c r="K404" s="173"/>
      <c r="L404" s="173"/>
    </row>
    <row r="405" spans="1:13" x14ac:dyDescent="0.3">
      <c r="A405" s="6"/>
      <c r="B405" s="124"/>
      <c r="C405" s="124"/>
      <c r="D405" s="124"/>
      <c r="E405" s="124"/>
      <c r="F405" s="124"/>
      <c r="G405" s="175"/>
      <c r="H405" s="175"/>
      <c r="I405" s="175"/>
      <c r="J405" s="173"/>
      <c r="K405" s="173"/>
      <c r="L405" s="173"/>
      <c r="M405" s="6"/>
    </row>
    <row r="406" spans="1:13" x14ac:dyDescent="0.3">
      <c r="A406" s="124"/>
      <c r="B406" s="124"/>
      <c r="C406" s="124"/>
      <c r="D406" s="124"/>
      <c r="E406" s="124"/>
      <c r="F406" s="124"/>
      <c r="G406" s="450"/>
      <c r="H406" s="450"/>
      <c r="I406" s="450"/>
      <c r="J406" s="450"/>
      <c r="K406" s="450"/>
      <c r="L406" s="450"/>
      <c r="M406" s="6"/>
    </row>
    <row r="407" spans="1:13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451"/>
      <c r="K407" s="451"/>
      <c r="L407" s="451"/>
      <c r="M407" s="6"/>
    </row>
    <row r="408" spans="1:13" x14ac:dyDescent="0.3">
      <c r="A408" s="124"/>
      <c r="B408" s="6"/>
      <c r="C408" s="6"/>
      <c r="D408" s="6"/>
      <c r="E408" s="112"/>
      <c r="F408" s="112"/>
      <c r="J408" s="444"/>
      <c r="K408" s="444"/>
      <c r="L408" s="444"/>
      <c r="M408" s="6"/>
    </row>
    <row r="409" spans="1:13" x14ac:dyDescent="0.3">
      <c r="A409" s="6"/>
      <c r="B409" s="124"/>
      <c r="C409" s="124"/>
      <c r="D409" s="124"/>
      <c r="E409" s="112"/>
      <c r="F409" s="112"/>
      <c r="M409" s="6"/>
    </row>
    <row r="410" spans="1:13" x14ac:dyDescent="0.3">
      <c r="A410" s="76"/>
      <c r="B410" s="6"/>
      <c r="C410" s="6"/>
      <c r="D410" s="6"/>
      <c r="E410" s="112"/>
      <c r="F410" s="112"/>
    </row>
    <row r="411" spans="1:13" x14ac:dyDescent="0.3">
      <c r="A411" s="176"/>
      <c r="B411" s="124"/>
      <c r="C411" s="124"/>
      <c r="D411" s="124"/>
      <c r="E411" s="112"/>
      <c r="F411" s="112"/>
      <c r="J411" s="444"/>
      <c r="K411" s="444"/>
      <c r="L411" s="444"/>
    </row>
    <row r="412" spans="1:13" x14ac:dyDescent="0.3">
      <c r="A412" s="176"/>
      <c r="B412" s="6"/>
      <c r="C412" s="6"/>
      <c r="D412" s="6"/>
      <c r="E412" s="112"/>
      <c r="F412" s="112"/>
      <c r="J412" s="444"/>
      <c r="K412" s="444"/>
      <c r="L412" s="444"/>
      <c r="M412" s="159"/>
    </row>
    <row r="413" spans="1:13" x14ac:dyDescent="0.3">
      <c r="B413" s="76"/>
      <c r="C413" s="76"/>
      <c r="D413" s="76"/>
      <c r="E413" s="76"/>
      <c r="F413" s="76"/>
      <c r="G413" s="76"/>
      <c r="H413" s="76"/>
      <c r="I413" s="76"/>
      <c r="K413" s="444"/>
      <c r="L413" s="444"/>
      <c r="M413" s="13"/>
    </row>
    <row r="414" spans="1:13" x14ac:dyDescent="0.3">
      <c r="A414" s="6"/>
      <c r="B414" s="176"/>
      <c r="C414" s="176"/>
      <c r="D414" s="176"/>
      <c r="E414" s="176"/>
      <c r="F414" s="176"/>
      <c r="G414" s="176"/>
      <c r="H414" s="176"/>
      <c r="I414" s="176"/>
      <c r="K414" s="447"/>
      <c r="L414" s="444"/>
      <c r="M414" s="13"/>
    </row>
    <row r="415" spans="1:13" x14ac:dyDescent="0.3">
      <c r="A415" s="159"/>
      <c r="B415" s="176"/>
      <c r="C415" s="176"/>
      <c r="D415" s="176"/>
      <c r="E415" s="176"/>
      <c r="F415" s="176"/>
      <c r="G415" s="176"/>
      <c r="H415" s="176"/>
      <c r="I415" s="176"/>
      <c r="J415" s="444"/>
      <c r="K415" s="444"/>
      <c r="L415" s="444"/>
      <c r="M415" s="112"/>
    </row>
    <row r="416" spans="1:13" x14ac:dyDescent="0.3">
      <c r="A416" s="136"/>
      <c r="M416" s="178"/>
    </row>
    <row r="417" spans="1:13" x14ac:dyDescent="0.3">
      <c r="A417" s="136"/>
      <c r="B417" s="6"/>
      <c r="C417" s="6"/>
      <c r="D417" s="6"/>
      <c r="E417" s="6"/>
      <c r="F417" s="6"/>
      <c r="G417" s="6"/>
      <c r="H417" s="6"/>
      <c r="I417" s="6"/>
      <c r="J417" s="6"/>
      <c r="K417" s="6"/>
      <c r="M417" s="178"/>
    </row>
    <row r="418" spans="1:13" x14ac:dyDescent="0.3">
      <c r="A418" s="52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12"/>
    </row>
    <row r="419" spans="1:13" x14ac:dyDescent="0.3">
      <c r="A419" s="52"/>
      <c r="B419" s="448"/>
      <c r="C419" s="448"/>
      <c r="D419" s="448"/>
      <c r="E419" s="448"/>
      <c r="F419" s="448"/>
      <c r="G419" s="448"/>
      <c r="H419" s="445"/>
      <c r="I419" s="445"/>
      <c r="J419" s="448"/>
      <c r="K419" s="448"/>
      <c r="L419" s="448"/>
      <c r="M419" s="112"/>
    </row>
    <row r="420" spans="1:13" x14ac:dyDescent="0.3">
      <c r="A420" s="52"/>
      <c r="B420" s="448"/>
      <c r="C420" s="448"/>
      <c r="D420" s="448"/>
      <c r="E420" s="448"/>
      <c r="F420" s="448"/>
      <c r="G420" s="448"/>
      <c r="H420" s="445"/>
      <c r="I420" s="445"/>
      <c r="J420" s="448"/>
      <c r="K420" s="448"/>
      <c r="L420" s="448"/>
      <c r="M420" s="112"/>
    </row>
    <row r="421" spans="1:13" x14ac:dyDescent="0.3">
      <c r="B421" s="444"/>
      <c r="C421" s="444"/>
      <c r="D421" s="444"/>
      <c r="E421" s="444"/>
      <c r="F421" s="444"/>
      <c r="G421" s="444"/>
      <c r="H421" s="445"/>
      <c r="I421" s="445"/>
      <c r="K421" s="178"/>
      <c r="L421" s="112"/>
      <c r="M421" s="112"/>
    </row>
    <row r="422" spans="1:13" x14ac:dyDescent="0.3">
      <c r="B422" s="444"/>
      <c r="C422" s="444"/>
      <c r="D422" s="444"/>
      <c r="E422" s="444"/>
      <c r="F422" s="444"/>
      <c r="G422" s="444"/>
      <c r="H422" s="445"/>
      <c r="I422" s="445"/>
      <c r="K422" s="178"/>
      <c r="L422" s="178"/>
      <c r="M422" s="112"/>
    </row>
    <row r="423" spans="1:13" x14ac:dyDescent="0.3">
      <c r="B423" s="444"/>
      <c r="C423" s="444"/>
      <c r="D423" s="444"/>
      <c r="E423" s="444"/>
      <c r="F423" s="444"/>
      <c r="G423" s="444"/>
      <c r="H423" s="445"/>
      <c r="I423" s="445"/>
      <c r="K423" s="112"/>
      <c r="L423" s="178"/>
      <c r="M423" s="112"/>
    </row>
    <row r="424" spans="1:13" x14ac:dyDescent="0.3">
      <c r="B424" s="444"/>
      <c r="C424" s="444"/>
      <c r="D424" s="444"/>
      <c r="E424" s="444"/>
      <c r="F424" s="444"/>
      <c r="G424" s="444"/>
      <c r="H424" s="444"/>
      <c r="I424" s="444"/>
      <c r="K424" s="112"/>
      <c r="L424" s="112"/>
      <c r="M424" s="178"/>
    </row>
    <row r="425" spans="1:13" x14ac:dyDescent="0.3">
      <c r="B425" s="444"/>
      <c r="C425" s="444"/>
      <c r="D425" s="444"/>
      <c r="E425" s="444"/>
      <c r="F425" s="444"/>
      <c r="G425" s="444"/>
      <c r="H425" s="444"/>
      <c r="I425" s="444"/>
      <c r="K425" s="112"/>
      <c r="L425" s="112"/>
      <c r="M425" s="76"/>
    </row>
    <row r="426" spans="1:13" x14ac:dyDescent="0.3">
      <c r="B426" s="444"/>
      <c r="C426" s="444"/>
      <c r="D426" s="444"/>
      <c r="E426" s="444"/>
      <c r="F426" s="444"/>
      <c r="G426" s="444"/>
      <c r="H426" s="444"/>
      <c r="I426" s="444"/>
      <c r="K426" s="112"/>
      <c r="L426" s="112"/>
      <c r="M426" s="159"/>
    </row>
    <row r="427" spans="1:13" x14ac:dyDescent="0.3">
      <c r="B427" s="444"/>
      <c r="C427" s="444"/>
      <c r="D427" s="444"/>
      <c r="E427" s="444"/>
      <c r="F427" s="444"/>
      <c r="G427" s="444"/>
      <c r="H427" s="444"/>
      <c r="I427" s="444"/>
      <c r="K427" s="112"/>
      <c r="L427" s="112"/>
    </row>
    <row r="428" spans="1:13" x14ac:dyDescent="0.3">
      <c r="B428" s="444"/>
      <c r="C428" s="444"/>
      <c r="D428" s="444"/>
      <c r="E428" s="444"/>
      <c r="F428" s="444"/>
      <c r="G428" s="444"/>
      <c r="H428" s="444"/>
      <c r="I428" s="444"/>
      <c r="K428" s="112"/>
      <c r="L428" s="112"/>
      <c r="M428" s="6"/>
    </row>
    <row r="429" spans="1:13" x14ac:dyDescent="0.3">
      <c r="A429" s="159"/>
      <c r="B429" s="444"/>
      <c r="C429" s="444"/>
      <c r="D429" s="444"/>
      <c r="E429" s="444"/>
      <c r="F429" s="444"/>
      <c r="G429" s="444"/>
      <c r="H429" s="444"/>
      <c r="I429" s="444"/>
      <c r="K429" s="112"/>
      <c r="L429" s="112"/>
      <c r="M429" s="6"/>
    </row>
    <row r="430" spans="1:13" x14ac:dyDescent="0.3">
      <c r="B430" s="444"/>
      <c r="C430" s="444"/>
      <c r="D430" s="444"/>
      <c r="E430" s="444"/>
      <c r="F430" s="444"/>
      <c r="G430" s="444"/>
      <c r="H430" s="444"/>
      <c r="I430" s="444"/>
      <c r="K430" s="178"/>
      <c r="L430" s="178"/>
      <c r="M430" s="6"/>
    </row>
    <row r="431" spans="1:13" x14ac:dyDescent="0.3">
      <c r="A431" s="179"/>
      <c r="B431" s="444"/>
      <c r="C431" s="444"/>
      <c r="D431" s="444"/>
      <c r="E431" s="444"/>
      <c r="F431" s="444"/>
      <c r="G431" s="444"/>
      <c r="J431" s="445"/>
      <c r="K431" s="445"/>
      <c r="L431" s="445"/>
      <c r="M431" s="76"/>
    </row>
    <row r="432" spans="1:13" x14ac:dyDescent="0.3"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6"/>
    </row>
    <row r="433" spans="1:13" ht="23.4" x14ac:dyDescent="0.45">
      <c r="A433" s="52"/>
      <c r="B433" s="446"/>
      <c r="C433" s="446"/>
      <c r="D433" s="446"/>
      <c r="E433" s="446"/>
      <c r="F433" s="446"/>
      <c r="G433" s="446"/>
      <c r="H433" s="446"/>
      <c r="I433" s="446"/>
      <c r="J433" s="52"/>
      <c r="M433" s="28"/>
    </row>
    <row r="434" spans="1:13" x14ac:dyDescent="0.3">
      <c r="B434" s="444"/>
      <c r="C434" s="444"/>
      <c r="D434" s="444"/>
      <c r="E434" s="444"/>
      <c r="F434" s="444"/>
      <c r="G434" s="444"/>
      <c r="H434" s="444"/>
      <c r="I434" s="444"/>
      <c r="J434" s="444"/>
      <c r="K434" s="444"/>
      <c r="L434" s="444"/>
      <c r="M434" s="13"/>
    </row>
    <row r="435" spans="1:13" x14ac:dyDescent="0.3">
      <c r="B435" s="454"/>
      <c r="C435" s="454"/>
      <c r="D435" s="454"/>
      <c r="E435" s="454"/>
      <c r="K435" s="444"/>
      <c r="L435" s="444"/>
      <c r="M435" s="13"/>
    </row>
    <row r="436" spans="1:13" x14ac:dyDescent="0.3">
      <c r="A436" s="52"/>
      <c r="B436" s="454"/>
      <c r="C436" s="454"/>
      <c r="D436" s="454"/>
      <c r="E436" s="454"/>
      <c r="F436" s="52"/>
      <c r="G436" s="52"/>
      <c r="H436" s="52"/>
      <c r="I436" s="52"/>
      <c r="J436" s="52"/>
      <c r="K436" s="444"/>
      <c r="L436" s="444"/>
      <c r="M436" s="34"/>
    </row>
    <row r="437" spans="1:13" x14ac:dyDescent="0.3">
      <c r="A437" s="13"/>
      <c r="B437" s="455"/>
      <c r="C437" s="455"/>
      <c r="D437" s="455"/>
      <c r="E437" s="455"/>
      <c r="F437" s="445"/>
      <c r="G437" s="445"/>
      <c r="H437" s="445"/>
      <c r="I437" s="445"/>
      <c r="J437" s="445"/>
      <c r="K437" s="445"/>
      <c r="L437" s="445"/>
      <c r="M437" s="34"/>
    </row>
    <row r="438" spans="1:13" x14ac:dyDescent="0.3">
      <c r="A438" s="13"/>
      <c r="K438" s="6"/>
      <c r="L438" s="6"/>
      <c r="M438" s="74"/>
    </row>
    <row r="439" spans="1:13" ht="23.4" x14ac:dyDescent="0.45">
      <c r="A439" s="6"/>
      <c r="B439" s="52"/>
      <c r="C439" s="52"/>
      <c r="D439" s="52"/>
      <c r="E439" s="52"/>
      <c r="F439" s="456"/>
      <c r="G439" s="456"/>
      <c r="H439" s="456"/>
      <c r="I439" s="456"/>
      <c r="J439" s="456"/>
      <c r="K439" s="181"/>
      <c r="L439" s="28"/>
      <c r="M439" s="34"/>
    </row>
    <row r="440" spans="1:13" x14ac:dyDescent="0.3">
      <c r="B440" s="13"/>
      <c r="C440" s="13"/>
      <c r="D440" s="13"/>
      <c r="E440" s="13"/>
      <c r="F440" s="13"/>
      <c r="G440" s="13"/>
      <c r="H440" s="13"/>
      <c r="I440" s="13"/>
      <c r="J440" s="13"/>
      <c r="K440" s="448"/>
      <c r="L440" s="448"/>
      <c r="M440" s="74"/>
    </row>
    <row r="441" spans="1:13" x14ac:dyDescent="0.3">
      <c r="A441" s="182"/>
      <c r="B441" s="13"/>
      <c r="C441" s="13"/>
      <c r="D441" s="13"/>
      <c r="E441" s="13"/>
      <c r="F441" s="13"/>
      <c r="G441" s="13"/>
      <c r="H441" s="13"/>
      <c r="I441" s="13"/>
      <c r="J441" s="13"/>
      <c r="K441" s="448"/>
      <c r="L441" s="448"/>
      <c r="M441" s="34"/>
    </row>
    <row r="442" spans="1:13" x14ac:dyDescent="0.3">
      <c r="B442" s="6"/>
      <c r="C442" s="6"/>
      <c r="D442" s="6"/>
      <c r="E442" s="6"/>
      <c r="F442" s="6"/>
      <c r="G442" s="6"/>
      <c r="H442" s="6"/>
      <c r="I442" s="6"/>
      <c r="J442" s="6"/>
      <c r="K442" s="452"/>
      <c r="L442" s="452"/>
      <c r="M442" s="34"/>
    </row>
    <row r="443" spans="1:13" x14ac:dyDescent="0.3">
      <c r="A443" s="182"/>
      <c r="K443" s="452"/>
      <c r="L443" s="452"/>
      <c r="M443" s="34"/>
    </row>
    <row r="444" spans="1:13" x14ac:dyDescent="0.3">
      <c r="A444" s="182"/>
      <c r="B444" s="182"/>
      <c r="C444" s="183"/>
      <c r="D444" s="184"/>
      <c r="E444" s="184"/>
      <c r="K444" s="453"/>
      <c r="L444" s="453"/>
      <c r="M444" s="34"/>
    </row>
    <row r="445" spans="1:13" x14ac:dyDescent="0.3">
      <c r="A445" s="182"/>
      <c r="B445" s="185"/>
      <c r="C445" s="184"/>
      <c r="D445" s="186"/>
      <c r="E445" s="184"/>
      <c r="F445" s="184"/>
      <c r="G445" s="184"/>
      <c r="H445" s="184"/>
      <c r="I445" s="187"/>
      <c r="K445" s="452"/>
      <c r="L445" s="452"/>
      <c r="M445" s="34"/>
    </row>
    <row r="446" spans="1:13" x14ac:dyDescent="0.3">
      <c r="A446" s="160"/>
      <c r="B446" s="182"/>
      <c r="C446" s="183"/>
      <c r="D446" s="188"/>
      <c r="E446" s="188"/>
      <c r="I446" s="189"/>
      <c r="K446" s="453"/>
      <c r="L446" s="453"/>
      <c r="M446" s="34"/>
    </row>
    <row r="447" spans="1:13" x14ac:dyDescent="0.3">
      <c r="A447" s="161"/>
      <c r="B447" s="185"/>
      <c r="C447" s="184"/>
      <c r="D447" s="184"/>
      <c r="E447" s="184"/>
      <c r="F447" s="184"/>
      <c r="G447" s="184"/>
      <c r="H447" s="184"/>
      <c r="I447" s="189"/>
      <c r="K447" s="452"/>
      <c r="L447" s="452"/>
      <c r="M447" s="34"/>
    </row>
    <row r="448" spans="1:13" ht="14.4" x14ac:dyDescent="0.3">
      <c r="A448" s="162"/>
      <c r="B448" s="190"/>
      <c r="C448" s="187"/>
      <c r="D448" s="191"/>
      <c r="E448" s="192"/>
      <c r="F448" s="128"/>
      <c r="G448" s="128"/>
      <c r="H448" s="128"/>
      <c r="I448" s="189"/>
      <c r="K448" s="452"/>
      <c r="L448" s="452"/>
      <c r="M448" s="34"/>
    </row>
    <row r="449" spans="1:13" ht="14.4" x14ac:dyDescent="0.3">
      <c r="A449" s="163"/>
      <c r="B449" s="164"/>
      <c r="C449" s="165"/>
      <c r="D449" s="166"/>
      <c r="E449" s="166"/>
      <c r="F449" s="128"/>
      <c r="G449" s="128"/>
      <c r="H449" s="128"/>
      <c r="I449" s="167"/>
      <c r="K449" s="452"/>
      <c r="L449" s="452"/>
      <c r="M449" s="34"/>
    </row>
    <row r="450" spans="1:13" ht="14.4" x14ac:dyDescent="0.3">
      <c r="A450" s="168"/>
      <c r="B450" s="169"/>
      <c r="C450" s="165"/>
      <c r="D450" s="170"/>
      <c r="E450" s="128"/>
      <c r="F450" s="128"/>
      <c r="G450" s="128"/>
      <c r="H450" s="128"/>
      <c r="I450" s="167"/>
      <c r="J450" s="6"/>
      <c r="K450" s="452"/>
      <c r="L450" s="452"/>
      <c r="M450" s="74"/>
    </row>
    <row r="451" spans="1:13" ht="14.4" x14ac:dyDescent="0.3">
      <c r="A451" s="160"/>
      <c r="B451" s="169"/>
      <c r="C451" s="165"/>
      <c r="D451" s="170"/>
      <c r="E451" s="128"/>
      <c r="F451" s="128"/>
      <c r="G451" s="128"/>
      <c r="H451" s="128"/>
      <c r="I451" s="167"/>
      <c r="J451" s="6"/>
      <c r="K451" s="452"/>
      <c r="L451" s="452"/>
      <c r="M451" s="6"/>
    </row>
    <row r="452" spans="1:13" ht="14.4" x14ac:dyDescent="0.3">
      <c r="B452" s="169"/>
      <c r="C452" s="128"/>
      <c r="D452" s="170"/>
      <c r="E452" s="128"/>
      <c r="F452" s="128"/>
      <c r="G452" s="128"/>
      <c r="H452" s="128"/>
      <c r="I452" s="167"/>
      <c r="K452" s="452"/>
      <c r="L452" s="452"/>
      <c r="M452" s="6"/>
    </row>
    <row r="453" spans="1:13" ht="14.4" x14ac:dyDescent="0.3">
      <c r="A453" s="6"/>
      <c r="B453" s="169"/>
      <c r="C453" s="128"/>
      <c r="D453" s="128"/>
      <c r="E453" s="128"/>
      <c r="F453" s="128"/>
      <c r="G453" s="128"/>
      <c r="H453" s="128"/>
      <c r="I453" s="167"/>
      <c r="K453" s="452"/>
      <c r="L453" s="452"/>
      <c r="M453" s="6"/>
    </row>
    <row r="454" spans="1:13" x14ac:dyDescent="0.3">
      <c r="A454" s="6"/>
      <c r="B454" s="40"/>
      <c r="C454" s="160"/>
      <c r="D454" s="40"/>
      <c r="K454" s="452"/>
      <c r="L454" s="452"/>
      <c r="M454" s="6"/>
    </row>
    <row r="455" spans="1:13" x14ac:dyDescent="0.3">
      <c r="B455" s="171"/>
      <c r="C455" s="160"/>
      <c r="D455" s="40"/>
      <c r="E455" s="172"/>
      <c r="K455" s="452"/>
      <c r="L455" s="452"/>
      <c r="M455" s="124"/>
    </row>
    <row r="456" spans="1:13" x14ac:dyDescent="0.3">
      <c r="B456" s="6"/>
      <c r="C456" s="6"/>
      <c r="D456" s="6"/>
      <c r="E456" s="6"/>
      <c r="F456" s="6"/>
      <c r="G456" s="445"/>
      <c r="H456" s="445"/>
      <c r="I456" s="445"/>
      <c r="J456" s="445"/>
      <c r="K456" s="453"/>
      <c r="L456" s="453"/>
      <c r="M456" s="173"/>
    </row>
    <row r="457" spans="1:13" x14ac:dyDescent="0.3">
      <c r="B457" s="6"/>
      <c r="C457" s="6"/>
      <c r="D457" s="6"/>
      <c r="E457" s="6"/>
      <c r="F457" s="6"/>
      <c r="G457" s="444"/>
      <c r="H457" s="444"/>
      <c r="I457" s="444"/>
      <c r="J457" s="444"/>
      <c r="K457" s="444"/>
      <c r="L457" s="444"/>
      <c r="M457" s="173"/>
    </row>
    <row r="458" spans="1:13" x14ac:dyDescent="0.3">
      <c r="A458" s="124"/>
      <c r="B458" s="449"/>
      <c r="C458" s="449"/>
      <c r="D458" s="449"/>
      <c r="E458" s="449"/>
      <c r="F458" s="449"/>
      <c r="G458" s="444"/>
      <c r="H458" s="444"/>
      <c r="I458" s="444"/>
      <c r="J458" s="444"/>
      <c r="K458" s="444"/>
      <c r="L458" s="444"/>
      <c r="M458" s="174"/>
    </row>
    <row r="459" spans="1:13" x14ac:dyDescent="0.3">
      <c r="A459" s="124"/>
      <c r="B459" s="449"/>
      <c r="C459" s="449"/>
      <c r="D459" s="449"/>
      <c r="E459" s="449"/>
      <c r="F459" s="449"/>
      <c r="G459" s="444"/>
      <c r="H459" s="444"/>
      <c r="I459" s="444"/>
      <c r="J459" s="444"/>
      <c r="K459" s="444"/>
      <c r="L459" s="444"/>
      <c r="M459" s="136"/>
    </row>
    <row r="460" spans="1:13" x14ac:dyDescent="0.3">
      <c r="A460" s="124"/>
      <c r="B460" s="449"/>
      <c r="C460" s="449"/>
      <c r="D460" s="449"/>
      <c r="E460" s="449"/>
      <c r="F460" s="449"/>
      <c r="G460" s="444"/>
      <c r="H460" s="444"/>
      <c r="I460" s="444"/>
      <c r="J460" s="444"/>
      <c r="K460" s="444"/>
      <c r="L460" s="444"/>
      <c r="M460" s="6"/>
    </row>
    <row r="461" spans="1:13" x14ac:dyDescent="0.3">
      <c r="A461" s="124"/>
      <c r="B461" s="124"/>
      <c r="C461" s="124"/>
      <c r="D461" s="124"/>
      <c r="E461" s="124"/>
      <c r="F461" s="124"/>
      <c r="G461" s="449"/>
      <c r="H461" s="449"/>
      <c r="I461" s="449"/>
      <c r="J461" s="449"/>
      <c r="K461" s="449"/>
      <c r="L461" s="449"/>
    </row>
    <row r="462" spans="1:13" x14ac:dyDescent="0.3">
      <c r="A462" s="6"/>
      <c r="B462" s="124"/>
      <c r="C462" s="124"/>
      <c r="D462" s="124"/>
      <c r="E462" s="124"/>
      <c r="F462" s="124"/>
      <c r="G462" s="175"/>
      <c r="H462" s="175"/>
      <c r="I462" s="175"/>
      <c r="J462" s="173"/>
      <c r="K462" s="173"/>
      <c r="L462" s="173"/>
    </row>
    <row r="463" spans="1:13" x14ac:dyDescent="0.3">
      <c r="A463" s="6"/>
      <c r="B463" s="124"/>
      <c r="C463" s="124"/>
      <c r="D463" s="124"/>
      <c r="E463" s="124"/>
      <c r="F463" s="124"/>
      <c r="G463" s="175"/>
      <c r="H463" s="175"/>
      <c r="I463" s="175"/>
      <c r="J463" s="173"/>
      <c r="K463" s="173"/>
      <c r="L463" s="173"/>
      <c r="M463" s="6"/>
    </row>
    <row r="464" spans="1:13" x14ac:dyDescent="0.3">
      <c r="A464" s="124"/>
      <c r="B464" s="124"/>
      <c r="C464" s="124"/>
      <c r="D464" s="124"/>
      <c r="E464" s="124"/>
      <c r="F464" s="124"/>
      <c r="G464" s="450"/>
      <c r="H464" s="450"/>
      <c r="I464" s="450"/>
      <c r="J464" s="450"/>
      <c r="K464" s="450"/>
      <c r="L464" s="450"/>
      <c r="M464" s="6"/>
    </row>
    <row r="465" spans="1:13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451"/>
      <c r="K465" s="451"/>
      <c r="L465" s="451"/>
      <c r="M465" s="6"/>
    </row>
    <row r="466" spans="1:13" x14ac:dyDescent="0.3">
      <c r="A466" s="124"/>
      <c r="B466" s="6"/>
      <c r="C466" s="6"/>
      <c r="D466" s="6"/>
      <c r="E466" s="112"/>
      <c r="F466" s="112"/>
      <c r="J466" s="444"/>
      <c r="K466" s="444"/>
      <c r="L466" s="444"/>
      <c r="M466" s="6"/>
    </row>
    <row r="467" spans="1:13" x14ac:dyDescent="0.3">
      <c r="A467" s="6"/>
      <c r="B467" s="124"/>
      <c r="C467" s="124"/>
      <c r="D467" s="124"/>
      <c r="E467" s="112"/>
      <c r="F467" s="112"/>
      <c r="M467" s="6"/>
    </row>
    <row r="468" spans="1:13" x14ac:dyDescent="0.3">
      <c r="A468" s="76"/>
      <c r="B468" s="6"/>
      <c r="C468" s="6"/>
      <c r="D468" s="6"/>
      <c r="E468" s="112"/>
      <c r="F468" s="112"/>
    </row>
    <row r="469" spans="1:13" x14ac:dyDescent="0.3">
      <c r="A469" s="176"/>
      <c r="B469" s="124"/>
      <c r="C469" s="124"/>
      <c r="D469" s="124"/>
      <c r="E469" s="112"/>
      <c r="F469" s="112"/>
      <c r="J469" s="444"/>
      <c r="K469" s="444"/>
      <c r="L469" s="444"/>
    </row>
    <row r="470" spans="1:13" x14ac:dyDescent="0.3">
      <c r="A470" s="176"/>
      <c r="B470" s="6"/>
      <c r="C470" s="6"/>
      <c r="D470" s="6"/>
      <c r="E470" s="112"/>
      <c r="F470" s="112"/>
      <c r="J470" s="444"/>
      <c r="K470" s="444"/>
      <c r="L470" s="444"/>
      <c r="M470" s="159"/>
    </row>
    <row r="471" spans="1:13" x14ac:dyDescent="0.3">
      <c r="B471" s="76"/>
      <c r="C471" s="76"/>
      <c r="D471" s="76"/>
      <c r="E471" s="76"/>
      <c r="F471" s="76"/>
      <c r="G471" s="76"/>
      <c r="H471" s="76"/>
      <c r="I471" s="76"/>
      <c r="K471" s="444"/>
      <c r="L471" s="444"/>
      <c r="M471" s="13"/>
    </row>
    <row r="472" spans="1:13" x14ac:dyDescent="0.3">
      <c r="A472" s="6"/>
      <c r="B472" s="176"/>
      <c r="C472" s="176"/>
      <c r="D472" s="176"/>
      <c r="E472" s="176"/>
      <c r="F472" s="176"/>
      <c r="G472" s="176"/>
      <c r="H472" s="176"/>
      <c r="I472" s="176"/>
      <c r="K472" s="447"/>
      <c r="L472" s="444"/>
      <c r="M472" s="13"/>
    </row>
    <row r="473" spans="1:13" x14ac:dyDescent="0.3">
      <c r="A473" s="159"/>
      <c r="B473" s="176"/>
      <c r="C473" s="176"/>
      <c r="D473" s="176"/>
      <c r="E473" s="176"/>
      <c r="F473" s="176"/>
      <c r="G473" s="176"/>
      <c r="H473" s="176"/>
      <c r="I473" s="176"/>
      <c r="J473" s="444"/>
      <c r="K473" s="444"/>
      <c r="L473" s="444"/>
      <c r="M473" s="112"/>
    </row>
    <row r="474" spans="1:13" x14ac:dyDescent="0.3">
      <c r="A474" s="136"/>
      <c r="M474" s="178"/>
    </row>
    <row r="475" spans="1:13" x14ac:dyDescent="0.3">
      <c r="A475" s="136"/>
      <c r="B475" s="6"/>
      <c r="C475" s="6"/>
      <c r="D475" s="6"/>
      <c r="E475" s="6"/>
      <c r="F475" s="6"/>
      <c r="G475" s="6"/>
      <c r="H475" s="6"/>
      <c r="I475" s="6"/>
      <c r="J475" s="6"/>
      <c r="K475" s="6"/>
      <c r="M475" s="178"/>
    </row>
    <row r="476" spans="1:13" x14ac:dyDescent="0.3">
      <c r="A476" s="52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12"/>
    </row>
    <row r="477" spans="1:13" x14ac:dyDescent="0.3">
      <c r="A477" s="52"/>
      <c r="B477" s="448"/>
      <c r="C477" s="448"/>
      <c r="D477" s="448"/>
      <c r="E477" s="448"/>
      <c r="F477" s="448"/>
      <c r="G477" s="448"/>
      <c r="H477" s="445"/>
      <c r="I477" s="445"/>
      <c r="J477" s="448"/>
      <c r="K477" s="448"/>
      <c r="L477" s="448"/>
      <c r="M477" s="112"/>
    </row>
    <row r="478" spans="1:13" x14ac:dyDescent="0.3">
      <c r="A478" s="52"/>
      <c r="B478" s="448"/>
      <c r="C478" s="448"/>
      <c r="D478" s="448"/>
      <c r="E478" s="448"/>
      <c r="F478" s="448"/>
      <c r="G478" s="448"/>
      <c r="H478" s="445"/>
      <c r="I478" s="445"/>
      <c r="J478" s="448"/>
      <c r="K478" s="448"/>
      <c r="L478" s="448"/>
      <c r="M478" s="112"/>
    </row>
    <row r="479" spans="1:13" x14ac:dyDescent="0.3">
      <c r="B479" s="444"/>
      <c r="C479" s="444"/>
      <c r="D479" s="444"/>
      <c r="E479" s="444"/>
      <c r="F479" s="444"/>
      <c r="G479" s="444"/>
      <c r="H479" s="445"/>
      <c r="I479" s="445"/>
      <c r="K479" s="178"/>
      <c r="L479" s="112"/>
      <c r="M479" s="112"/>
    </row>
    <row r="480" spans="1:13" x14ac:dyDescent="0.3">
      <c r="B480" s="444"/>
      <c r="C480" s="444"/>
      <c r="D480" s="444"/>
      <c r="E480" s="444"/>
      <c r="F480" s="444"/>
      <c r="G480" s="444"/>
      <c r="H480" s="445"/>
      <c r="I480" s="445"/>
      <c r="K480" s="178"/>
      <c r="L480" s="178"/>
      <c r="M480" s="112"/>
    </row>
    <row r="481" spans="1:13" x14ac:dyDescent="0.3">
      <c r="B481" s="444"/>
      <c r="C481" s="444"/>
      <c r="D481" s="444"/>
      <c r="E481" s="444"/>
      <c r="F481" s="444"/>
      <c r="G481" s="444"/>
      <c r="H481" s="445"/>
      <c r="I481" s="445"/>
      <c r="K481" s="112"/>
      <c r="L481" s="178"/>
      <c r="M481" s="112"/>
    </row>
    <row r="482" spans="1:13" x14ac:dyDescent="0.3">
      <c r="B482" s="444"/>
      <c r="C482" s="444"/>
      <c r="D482" s="444"/>
      <c r="E482" s="444"/>
      <c r="F482" s="444"/>
      <c r="G482" s="444"/>
      <c r="H482" s="444"/>
      <c r="I482" s="444"/>
      <c r="K482" s="112"/>
      <c r="L482" s="112"/>
      <c r="M482" s="178"/>
    </row>
    <row r="483" spans="1:13" x14ac:dyDescent="0.3">
      <c r="B483" s="444"/>
      <c r="C483" s="444"/>
      <c r="D483" s="444"/>
      <c r="E483" s="444"/>
      <c r="F483" s="444"/>
      <c r="G483" s="444"/>
      <c r="H483" s="444"/>
      <c r="I483" s="444"/>
      <c r="K483" s="112"/>
      <c r="L483" s="112"/>
      <c r="M483" s="76"/>
    </row>
    <row r="484" spans="1:13" x14ac:dyDescent="0.3">
      <c r="B484" s="444"/>
      <c r="C484" s="444"/>
      <c r="D484" s="444"/>
      <c r="E484" s="444"/>
      <c r="F484" s="444"/>
      <c r="G484" s="444"/>
      <c r="H484" s="444"/>
      <c r="I484" s="444"/>
      <c r="K484" s="112"/>
      <c r="L484" s="112"/>
      <c r="M484" s="159"/>
    </row>
    <row r="485" spans="1:13" x14ac:dyDescent="0.3">
      <c r="B485" s="444"/>
      <c r="C485" s="444"/>
      <c r="D485" s="444"/>
      <c r="E485" s="444"/>
      <c r="F485" s="444"/>
      <c r="G485" s="444"/>
      <c r="H485" s="444"/>
      <c r="I485" s="444"/>
      <c r="K485" s="112"/>
      <c r="L485" s="112"/>
    </row>
    <row r="486" spans="1:13" x14ac:dyDescent="0.3">
      <c r="B486" s="444"/>
      <c r="C486" s="444"/>
      <c r="D486" s="444"/>
      <c r="E486" s="444"/>
      <c r="F486" s="444"/>
      <c r="G486" s="444"/>
      <c r="H486" s="444"/>
      <c r="I486" s="444"/>
      <c r="K486" s="112"/>
      <c r="L486" s="112"/>
      <c r="M486" s="6"/>
    </row>
    <row r="487" spans="1:13" x14ac:dyDescent="0.3">
      <c r="A487" s="159"/>
      <c r="B487" s="444"/>
      <c r="C487" s="444"/>
      <c r="D487" s="444"/>
      <c r="E487" s="444"/>
      <c r="F487" s="444"/>
      <c r="G487" s="444"/>
      <c r="H487" s="444"/>
      <c r="I487" s="444"/>
      <c r="K487" s="112"/>
      <c r="L487" s="112"/>
      <c r="M487" s="6"/>
    </row>
    <row r="488" spans="1:13" x14ac:dyDescent="0.3">
      <c r="B488" s="444"/>
      <c r="C488" s="444"/>
      <c r="D488" s="444"/>
      <c r="E488" s="444"/>
      <c r="F488" s="444"/>
      <c r="G488" s="444"/>
      <c r="H488" s="444"/>
      <c r="I488" s="444"/>
      <c r="K488" s="178"/>
      <c r="L488" s="178"/>
      <c r="M488" s="6"/>
    </row>
    <row r="489" spans="1:13" x14ac:dyDescent="0.3">
      <c r="A489" s="179"/>
      <c r="B489" s="444"/>
      <c r="C489" s="444"/>
      <c r="D489" s="444"/>
      <c r="E489" s="444"/>
      <c r="F489" s="444"/>
      <c r="G489" s="444"/>
      <c r="J489" s="445"/>
      <c r="K489" s="445"/>
      <c r="L489" s="445"/>
      <c r="M489" s="76"/>
    </row>
    <row r="490" spans="1:13" x14ac:dyDescent="0.3"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6"/>
    </row>
    <row r="491" spans="1:13" ht="23.4" x14ac:dyDescent="0.45">
      <c r="A491" s="52"/>
      <c r="B491" s="446"/>
      <c r="C491" s="446"/>
      <c r="D491" s="446"/>
      <c r="E491" s="446"/>
      <c r="F491" s="446"/>
      <c r="G491" s="446"/>
      <c r="H491" s="446"/>
      <c r="I491" s="446"/>
      <c r="J491" s="52"/>
      <c r="M491" s="28"/>
    </row>
    <row r="492" spans="1:13" x14ac:dyDescent="0.3">
      <c r="B492" s="444"/>
      <c r="C492" s="444"/>
      <c r="D492" s="444"/>
      <c r="E492" s="444"/>
      <c r="F492" s="444"/>
      <c r="G492" s="444"/>
      <c r="H492" s="444"/>
      <c r="I492" s="444"/>
      <c r="J492" s="444"/>
      <c r="K492" s="444"/>
      <c r="L492" s="444"/>
      <c r="M492" s="13"/>
    </row>
    <row r="493" spans="1:13" x14ac:dyDescent="0.3">
      <c r="B493" s="454"/>
      <c r="C493" s="454"/>
      <c r="D493" s="454"/>
      <c r="E493" s="454"/>
      <c r="K493" s="444"/>
      <c r="L493" s="444"/>
      <c r="M493" s="13"/>
    </row>
    <row r="494" spans="1:13" x14ac:dyDescent="0.3">
      <c r="A494" s="52"/>
      <c r="B494" s="454"/>
      <c r="C494" s="454"/>
      <c r="D494" s="454"/>
      <c r="E494" s="454"/>
      <c r="F494" s="52"/>
      <c r="G494" s="52"/>
      <c r="H494" s="52"/>
      <c r="I494" s="52"/>
      <c r="J494" s="52"/>
      <c r="K494" s="444"/>
      <c r="L494" s="444"/>
      <c r="M494" s="34"/>
    </row>
    <row r="495" spans="1:13" x14ac:dyDescent="0.3">
      <c r="A495" s="13"/>
      <c r="B495" s="455"/>
      <c r="C495" s="455"/>
      <c r="D495" s="455"/>
      <c r="E495" s="455"/>
      <c r="F495" s="445"/>
      <c r="G495" s="445"/>
      <c r="H495" s="445"/>
      <c r="I495" s="445"/>
      <c r="J495" s="445"/>
      <c r="K495" s="445"/>
      <c r="L495" s="445"/>
      <c r="M495" s="34"/>
    </row>
    <row r="496" spans="1:13" x14ac:dyDescent="0.3">
      <c r="A496" s="13"/>
      <c r="K496" s="6"/>
      <c r="L496" s="6"/>
      <c r="M496" s="74"/>
    </row>
    <row r="497" spans="1:13" ht="23.4" x14ac:dyDescent="0.45">
      <c r="A497" s="6"/>
      <c r="B497" s="52"/>
      <c r="C497" s="52"/>
      <c r="D497" s="52"/>
      <c r="E497" s="52"/>
      <c r="F497" s="456"/>
      <c r="G497" s="456"/>
      <c r="H497" s="456"/>
      <c r="I497" s="456"/>
      <c r="J497" s="456"/>
      <c r="K497" s="181"/>
      <c r="L497" s="28"/>
      <c r="M497" s="34"/>
    </row>
    <row r="498" spans="1:13" x14ac:dyDescent="0.3">
      <c r="B498" s="13"/>
      <c r="C498" s="13"/>
      <c r="D498" s="13"/>
      <c r="E498" s="13"/>
      <c r="F498" s="13"/>
      <c r="G498" s="13"/>
      <c r="H498" s="13"/>
      <c r="I498" s="13"/>
      <c r="J498" s="13"/>
      <c r="K498" s="448"/>
      <c r="L498" s="448"/>
      <c r="M498" s="74"/>
    </row>
    <row r="499" spans="1:13" x14ac:dyDescent="0.3">
      <c r="A499" s="182"/>
      <c r="B499" s="13"/>
      <c r="C499" s="13"/>
      <c r="D499" s="13"/>
      <c r="E499" s="13"/>
      <c r="F499" s="13"/>
      <c r="G499" s="13"/>
      <c r="H499" s="13"/>
      <c r="I499" s="13"/>
      <c r="J499" s="13"/>
      <c r="K499" s="448"/>
      <c r="L499" s="448"/>
      <c r="M499" s="34"/>
    </row>
    <row r="500" spans="1:13" x14ac:dyDescent="0.3">
      <c r="B500" s="6"/>
      <c r="C500" s="6"/>
      <c r="D500" s="6"/>
      <c r="E500" s="6"/>
      <c r="F500" s="6"/>
      <c r="G500" s="6"/>
      <c r="H500" s="6"/>
      <c r="I500" s="6"/>
      <c r="J500" s="6"/>
      <c r="K500" s="452"/>
      <c r="L500" s="452"/>
      <c r="M500" s="34"/>
    </row>
    <row r="501" spans="1:13" x14ac:dyDescent="0.3">
      <c r="A501" s="182"/>
      <c r="K501" s="452"/>
      <c r="L501" s="452"/>
      <c r="M501" s="34"/>
    </row>
    <row r="502" spans="1:13" x14ac:dyDescent="0.3">
      <c r="A502" s="182"/>
      <c r="B502" s="182"/>
      <c r="C502" s="183"/>
      <c r="D502" s="184"/>
      <c r="E502" s="184"/>
      <c r="K502" s="453"/>
      <c r="L502" s="453"/>
      <c r="M502" s="34"/>
    </row>
    <row r="503" spans="1:13" x14ac:dyDescent="0.3">
      <c r="A503" s="182"/>
      <c r="B503" s="185"/>
      <c r="C503" s="184"/>
      <c r="D503" s="186"/>
      <c r="E503" s="184"/>
      <c r="F503" s="184"/>
      <c r="G503" s="184"/>
      <c r="H503" s="184"/>
      <c r="I503" s="187"/>
      <c r="K503" s="452"/>
      <c r="L503" s="452"/>
      <c r="M503" s="34"/>
    </row>
    <row r="504" spans="1:13" x14ac:dyDescent="0.3">
      <c r="A504" s="160"/>
      <c r="B504" s="182"/>
      <c r="C504" s="183"/>
      <c r="D504" s="188"/>
      <c r="E504" s="188"/>
      <c r="I504" s="189"/>
      <c r="K504" s="453"/>
      <c r="L504" s="453"/>
      <c r="M504" s="34"/>
    </row>
    <row r="505" spans="1:13" x14ac:dyDescent="0.3">
      <c r="A505" s="161"/>
      <c r="B505" s="185"/>
      <c r="C505" s="184"/>
      <c r="D505" s="184"/>
      <c r="E505" s="184"/>
      <c r="F505" s="184"/>
      <c r="G505" s="184"/>
      <c r="H505" s="184"/>
      <c r="I505" s="189"/>
      <c r="K505" s="452"/>
      <c r="L505" s="452"/>
      <c r="M505" s="34"/>
    </row>
    <row r="506" spans="1:13" ht="14.4" x14ac:dyDescent="0.3">
      <c r="A506" s="162"/>
      <c r="B506" s="190"/>
      <c r="C506" s="187"/>
      <c r="D506" s="191"/>
      <c r="E506" s="192"/>
      <c r="F506" s="128"/>
      <c r="G506" s="128"/>
      <c r="H506" s="128"/>
      <c r="I506" s="189"/>
      <c r="K506" s="452"/>
      <c r="L506" s="452"/>
      <c r="M506" s="34"/>
    </row>
    <row r="507" spans="1:13" ht="14.4" x14ac:dyDescent="0.3">
      <c r="A507" s="163"/>
      <c r="B507" s="164"/>
      <c r="C507" s="165"/>
      <c r="D507" s="166"/>
      <c r="E507" s="166"/>
      <c r="F507" s="128"/>
      <c r="G507" s="128"/>
      <c r="H507" s="128"/>
      <c r="I507" s="167"/>
      <c r="K507" s="452"/>
      <c r="L507" s="452"/>
      <c r="M507" s="34"/>
    </row>
    <row r="508" spans="1:13" ht="14.4" x14ac:dyDescent="0.3">
      <c r="A508" s="168"/>
      <c r="B508" s="169"/>
      <c r="C508" s="165"/>
      <c r="D508" s="170"/>
      <c r="E508" s="128"/>
      <c r="F508" s="128"/>
      <c r="G508" s="128"/>
      <c r="H508" s="128"/>
      <c r="I508" s="167"/>
      <c r="J508" s="6"/>
      <c r="K508" s="452"/>
      <c r="L508" s="452"/>
      <c r="M508" s="74"/>
    </row>
    <row r="509" spans="1:13" ht="14.4" x14ac:dyDescent="0.3">
      <c r="A509" s="160"/>
      <c r="B509" s="169"/>
      <c r="C509" s="165"/>
      <c r="D509" s="170"/>
      <c r="E509" s="128"/>
      <c r="F509" s="128"/>
      <c r="G509" s="128"/>
      <c r="H509" s="128"/>
      <c r="I509" s="167"/>
      <c r="J509" s="6"/>
      <c r="K509" s="452"/>
      <c r="L509" s="452"/>
      <c r="M509" s="6"/>
    </row>
    <row r="510" spans="1:13" ht="14.4" x14ac:dyDescent="0.3">
      <c r="B510" s="169"/>
      <c r="C510" s="128"/>
      <c r="D510" s="170"/>
      <c r="E510" s="128"/>
      <c r="F510" s="128"/>
      <c r="G510" s="128"/>
      <c r="H510" s="128"/>
      <c r="I510" s="167"/>
      <c r="K510" s="452"/>
      <c r="L510" s="452"/>
      <c r="M510" s="6"/>
    </row>
    <row r="511" spans="1:13" ht="14.4" x14ac:dyDescent="0.3">
      <c r="A511" s="6"/>
      <c r="B511" s="169"/>
      <c r="C511" s="128"/>
      <c r="D511" s="128"/>
      <c r="E511" s="128"/>
      <c r="F511" s="128"/>
      <c r="G511" s="128"/>
      <c r="H511" s="128"/>
      <c r="I511" s="167"/>
      <c r="K511" s="452"/>
      <c r="L511" s="452"/>
      <c r="M511" s="6"/>
    </row>
    <row r="512" spans="1:13" x14ac:dyDescent="0.3">
      <c r="A512" s="6"/>
      <c r="B512" s="40"/>
      <c r="C512" s="160"/>
      <c r="D512" s="40"/>
      <c r="K512" s="452"/>
      <c r="L512" s="452"/>
      <c r="M512" s="6"/>
    </row>
    <row r="513" spans="1:13" x14ac:dyDescent="0.3">
      <c r="B513" s="171"/>
      <c r="C513" s="160"/>
      <c r="D513" s="40"/>
      <c r="E513" s="172"/>
      <c r="K513" s="452"/>
      <c r="L513" s="452"/>
      <c r="M513" s="124"/>
    </row>
    <row r="514" spans="1:13" x14ac:dyDescent="0.3">
      <c r="B514" s="6"/>
      <c r="C514" s="6"/>
      <c r="D514" s="6"/>
      <c r="E514" s="6"/>
      <c r="F514" s="6"/>
      <c r="G514" s="445"/>
      <c r="H514" s="445"/>
      <c r="I514" s="445"/>
      <c r="J514" s="445"/>
      <c r="K514" s="453"/>
      <c r="L514" s="453"/>
      <c r="M514" s="173"/>
    </row>
    <row r="515" spans="1:13" x14ac:dyDescent="0.3">
      <c r="B515" s="6"/>
      <c r="C515" s="6"/>
      <c r="D515" s="6"/>
      <c r="E515" s="6"/>
      <c r="F515" s="6"/>
      <c r="G515" s="444"/>
      <c r="H515" s="444"/>
      <c r="I515" s="444"/>
      <c r="J515" s="444"/>
      <c r="K515" s="444"/>
      <c r="L515" s="444"/>
      <c r="M515" s="173"/>
    </row>
    <row r="516" spans="1:13" x14ac:dyDescent="0.3">
      <c r="A516" s="124"/>
      <c r="B516" s="449"/>
      <c r="C516" s="449"/>
      <c r="D516" s="449"/>
      <c r="E516" s="449"/>
      <c r="F516" s="449"/>
      <c r="G516" s="444"/>
      <c r="H516" s="444"/>
      <c r="I516" s="444"/>
      <c r="J516" s="444"/>
      <c r="K516" s="444"/>
      <c r="L516" s="444"/>
      <c r="M516" s="174"/>
    </row>
    <row r="517" spans="1:13" x14ac:dyDescent="0.3">
      <c r="A517" s="124"/>
      <c r="B517" s="449"/>
      <c r="C517" s="449"/>
      <c r="D517" s="449"/>
      <c r="E517" s="449"/>
      <c r="F517" s="449"/>
      <c r="G517" s="444"/>
      <c r="H517" s="444"/>
      <c r="I517" s="444"/>
      <c r="J517" s="444"/>
      <c r="K517" s="444"/>
      <c r="L517" s="444"/>
      <c r="M517" s="136"/>
    </row>
    <row r="518" spans="1:13" x14ac:dyDescent="0.3">
      <c r="A518" s="124"/>
      <c r="B518" s="449"/>
      <c r="C518" s="449"/>
      <c r="D518" s="449"/>
      <c r="E518" s="449"/>
      <c r="F518" s="449"/>
      <c r="G518" s="444"/>
      <c r="H518" s="444"/>
      <c r="I518" s="444"/>
      <c r="J518" s="444"/>
      <c r="K518" s="444"/>
      <c r="L518" s="444"/>
      <c r="M518" s="6"/>
    </row>
    <row r="519" spans="1:13" x14ac:dyDescent="0.3">
      <c r="A519" s="124"/>
      <c r="B519" s="124"/>
      <c r="C519" s="124"/>
      <c r="D519" s="124"/>
      <c r="E519" s="124"/>
      <c r="F519" s="124"/>
      <c r="G519" s="449"/>
      <c r="H519" s="449"/>
      <c r="I519" s="449"/>
      <c r="J519" s="449"/>
      <c r="K519" s="449"/>
      <c r="L519" s="449"/>
    </row>
    <row r="520" spans="1:13" x14ac:dyDescent="0.3">
      <c r="A520" s="6"/>
      <c r="B520" s="124"/>
      <c r="C520" s="124"/>
      <c r="D520" s="124"/>
      <c r="E520" s="124"/>
      <c r="F520" s="124"/>
      <c r="G520" s="175"/>
      <c r="H520" s="175"/>
      <c r="I520" s="175"/>
      <c r="J520" s="173"/>
      <c r="K520" s="173"/>
      <c r="L520" s="173"/>
    </row>
    <row r="521" spans="1:13" x14ac:dyDescent="0.3">
      <c r="A521" s="6"/>
      <c r="B521" s="124"/>
      <c r="C521" s="124"/>
      <c r="D521" s="124"/>
      <c r="E521" s="124"/>
      <c r="F521" s="124"/>
      <c r="G521" s="175"/>
      <c r="H521" s="175"/>
      <c r="I521" s="175"/>
      <c r="J521" s="173"/>
      <c r="K521" s="173"/>
      <c r="L521" s="173"/>
      <c r="M521" s="6"/>
    </row>
    <row r="522" spans="1:13" x14ac:dyDescent="0.3">
      <c r="A522" s="124"/>
      <c r="B522" s="124"/>
      <c r="C522" s="124"/>
      <c r="D522" s="124"/>
      <c r="E522" s="124"/>
      <c r="F522" s="124"/>
      <c r="G522" s="450"/>
      <c r="H522" s="450"/>
      <c r="I522" s="450"/>
      <c r="J522" s="450"/>
      <c r="K522" s="450"/>
      <c r="L522" s="450"/>
      <c r="M522" s="6"/>
    </row>
    <row r="523" spans="1:13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451"/>
      <c r="K523" s="451"/>
      <c r="L523" s="451"/>
      <c r="M523" s="6"/>
    </row>
    <row r="524" spans="1:13" x14ac:dyDescent="0.3">
      <c r="A524" s="124"/>
      <c r="B524" s="6"/>
      <c r="C524" s="6"/>
      <c r="D524" s="6"/>
      <c r="E524" s="112"/>
      <c r="F524" s="112"/>
      <c r="J524" s="444"/>
      <c r="K524" s="444"/>
      <c r="L524" s="444"/>
      <c r="M524" s="6"/>
    </row>
    <row r="525" spans="1:13" x14ac:dyDescent="0.3">
      <c r="A525" s="6"/>
      <c r="B525" s="124"/>
      <c r="C525" s="124"/>
      <c r="D525" s="124"/>
      <c r="E525" s="112"/>
      <c r="F525" s="112"/>
      <c r="M525" s="6"/>
    </row>
    <row r="526" spans="1:13" x14ac:dyDescent="0.3">
      <c r="A526" s="76"/>
      <c r="B526" s="6"/>
      <c r="C526" s="6"/>
      <c r="D526" s="6"/>
      <c r="E526" s="112"/>
      <c r="F526" s="112"/>
    </row>
    <row r="527" spans="1:13" x14ac:dyDescent="0.3">
      <c r="A527" s="176"/>
      <c r="B527" s="124"/>
      <c r="C527" s="124"/>
      <c r="D527" s="124"/>
      <c r="E527" s="112"/>
      <c r="F527" s="112"/>
      <c r="J527" s="444"/>
      <c r="K527" s="444"/>
      <c r="L527" s="444"/>
    </row>
    <row r="528" spans="1:13" x14ac:dyDescent="0.3">
      <c r="A528" s="176"/>
      <c r="B528" s="6"/>
      <c r="C528" s="6"/>
      <c r="D528" s="6"/>
      <c r="E528" s="112"/>
      <c r="F528" s="112"/>
      <c r="J528" s="444"/>
      <c r="K528" s="444"/>
      <c r="L528" s="444"/>
      <c r="M528" s="159"/>
    </row>
    <row r="529" spans="1:13" x14ac:dyDescent="0.3">
      <c r="B529" s="76"/>
      <c r="C529" s="76"/>
      <c r="D529" s="76"/>
      <c r="E529" s="76"/>
      <c r="F529" s="76"/>
      <c r="G529" s="76"/>
      <c r="H529" s="76"/>
      <c r="I529" s="76"/>
      <c r="K529" s="444"/>
      <c r="L529" s="444"/>
      <c r="M529" s="13"/>
    </row>
    <row r="530" spans="1:13" x14ac:dyDescent="0.3">
      <c r="A530" s="6"/>
      <c r="B530" s="176"/>
      <c r="C530" s="176"/>
      <c r="D530" s="176"/>
      <c r="E530" s="176"/>
      <c r="F530" s="176"/>
      <c r="G530" s="176"/>
      <c r="H530" s="176"/>
      <c r="I530" s="176"/>
      <c r="K530" s="447"/>
      <c r="L530" s="444"/>
      <c r="M530" s="13"/>
    </row>
    <row r="531" spans="1:13" x14ac:dyDescent="0.3">
      <c r="A531" s="159"/>
      <c r="B531" s="176"/>
      <c r="C531" s="176"/>
      <c r="D531" s="176"/>
      <c r="E531" s="176"/>
      <c r="F531" s="176"/>
      <c r="G531" s="176"/>
      <c r="H531" s="176"/>
      <c r="I531" s="176"/>
      <c r="J531" s="444"/>
      <c r="K531" s="444"/>
      <c r="L531" s="444"/>
      <c r="M531" s="112"/>
    </row>
    <row r="532" spans="1:13" x14ac:dyDescent="0.3">
      <c r="A532" s="136"/>
      <c r="M532" s="178"/>
    </row>
    <row r="533" spans="1:13" x14ac:dyDescent="0.3">
      <c r="A533" s="136"/>
      <c r="B533" s="6"/>
      <c r="C533" s="6"/>
      <c r="D533" s="6"/>
      <c r="E533" s="6"/>
      <c r="F533" s="6"/>
      <c r="G533" s="6"/>
      <c r="H533" s="6"/>
      <c r="I533" s="6"/>
      <c r="J533" s="6"/>
      <c r="K533" s="6"/>
      <c r="M533" s="178"/>
    </row>
    <row r="534" spans="1:13" x14ac:dyDescent="0.3">
      <c r="A534" s="52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12"/>
    </row>
    <row r="535" spans="1:13" x14ac:dyDescent="0.3">
      <c r="A535" s="52"/>
      <c r="B535" s="448"/>
      <c r="C535" s="448"/>
      <c r="D535" s="448"/>
      <c r="E535" s="448"/>
      <c r="F535" s="448"/>
      <c r="G535" s="448"/>
      <c r="H535" s="445"/>
      <c r="I535" s="445"/>
      <c r="J535" s="448"/>
      <c r="K535" s="448"/>
      <c r="L535" s="448"/>
      <c r="M535" s="112"/>
    </row>
    <row r="536" spans="1:13" x14ac:dyDescent="0.3">
      <c r="A536" s="52"/>
      <c r="B536" s="448"/>
      <c r="C536" s="448"/>
      <c r="D536" s="448"/>
      <c r="E536" s="448"/>
      <c r="F536" s="448"/>
      <c r="G536" s="448"/>
      <c r="H536" s="445"/>
      <c r="I536" s="445"/>
      <c r="J536" s="448"/>
      <c r="K536" s="448"/>
      <c r="L536" s="448"/>
      <c r="M536" s="112"/>
    </row>
    <row r="537" spans="1:13" x14ac:dyDescent="0.3">
      <c r="B537" s="444"/>
      <c r="C537" s="444"/>
      <c r="D537" s="444"/>
      <c r="E537" s="444"/>
      <c r="F537" s="444"/>
      <c r="G537" s="444"/>
      <c r="H537" s="445"/>
      <c r="I537" s="445"/>
      <c r="K537" s="178"/>
      <c r="L537" s="112"/>
      <c r="M537" s="112"/>
    </row>
    <row r="538" spans="1:13" x14ac:dyDescent="0.3">
      <c r="B538" s="444"/>
      <c r="C538" s="444"/>
      <c r="D538" s="444"/>
      <c r="E538" s="444"/>
      <c r="F538" s="444"/>
      <c r="G538" s="444"/>
      <c r="H538" s="445"/>
      <c r="I538" s="445"/>
      <c r="K538" s="178"/>
      <c r="L538" s="178"/>
      <c r="M538" s="112"/>
    </row>
    <row r="539" spans="1:13" x14ac:dyDescent="0.3">
      <c r="B539" s="444"/>
      <c r="C539" s="444"/>
      <c r="D539" s="444"/>
      <c r="E539" s="444"/>
      <c r="F539" s="444"/>
      <c r="G539" s="444"/>
      <c r="H539" s="445"/>
      <c r="I539" s="445"/>
      <c r="K539" s="112"/>
      <c r="L539" s="178"/>
      <c r="M539" s="112"/>
    </row>
    <row r="540" spans="1:13" x14ac:dyDescent="0.3">
      <c r="B540" s="444"/>
      <c r="C540" s="444"/>
      <c r="D540" s="444"/>
      <c r="E540" s="444"/>
      <c r="F540" s="444"/>
      <c r="G540" s="444"/>
      <c r="H540" s="444"/>
      <c r="I540" s="444"/>
      <c r="K540" s="112"/>
      <c r="L540" s="112"/>
      <c r="M540" s="178"/>
    </row>
    <row r="541" spans="1:13" x14ac:dyDescent="0.3">
      <c r="B541" s="444"/>
      <c r="C541" s="444"/>
      <c r="D541" s="444"/>
      <c r="E541" s="444"/>
      <c r="F541" s="444"/>
      <c r="G541" s="444"/>
      <c r="H541" s="444"/>
      <c r="I541" s="444"/>
      <c r="K541" s="112"/>
      <c r="L541" s="112"/>
      <c r="M541" s="76"/>
    </row>
    <row r="542" spans="1:13" x14ac:dyDescent="0.3">
      <c r="B542" s="444"/>
      <c r="C542" s="444"/>
      <c r="D542" s="444"/>
      <c r="E542" s="444"/>
      <c r="F542" s="444"/>
      <c r="G542" s="444"/>
      <c r="H542" s="444"/>
      <c r="I542" s="444"/>
      <c r="K542" s="112"/>
      <c r="L542" s="112"/>
      <c r="M542" s="159"/>
    </row>
    <row r="543" spans="1:13" x14ac:dyDescent="0.3">
      <c r="B543" s="444"/>
      <c r="C543" s="444"/>
      <c r="D543" s="444"/>
      <c r="E543" s="444"/>
      <c r="F543" s="444"/>
      <c r="G543" s="444"/>
      <c r="H543" s="444"/>
      <c r="I543" s="444"/>
      <c r="K543" s="112"/>
      <c r="L543" s="112"/>
    </row>
    <row r="544" spans="1:13" x14ac:dyDescent="0.3">
      <c r="B544" s="444"/>
      <c r="C544" s="444"/>
      <c r="D544" s="444"/>
      <c r="E544" s="444"/>
      <c r="F544" s="444"/>
      <c r="G544" s="444"/>
      <c r="H544" s="444"/>
      <c r="I544" s="444"/>
      <c r="K544" s="112"/>
      <c r="L544" s="112"/>
      <c r="M544" s="6"/>
    </row>
    <row r="545" spans="1:13" x14ac:dyDescent="0.3">
      <c r="A545" s="159"/>
      <c r="B545" s="444"/>
      <c r="C545" s="444"/>
      <c r="D545" s="444"/>
      <c r="E545" s="444"/>
      <c r="F545" s="444"/>
      <c r="G545" s="444"/>
      <c r="H545" s="444"/>
      <c r="I545" s="444"/>
      <c r="K545" s="112"/>
      <c r="L545" s="112"/>
      <c r="M545" s="6"/>
    </row>
    <row r="546" spans="1:13" x14ac:dyDescent="0.3">
      <c r="B546" s="444"/>
      <c r="C546" s="444"/>
      <c r="D546" s="444"/>
      <c r="E546" s="444"/>
      <c r="F546" s="444"/>
      <c r="G546" s="444"/>
      <c r="H546" s="444"/>
      <c r="I546" s="444"/>
      <c r="K546" s="178"/>
      <c r="L546" s="178"/>
      <c r="M546" s="6"/>
    </row>
    <row r="547" spans="1:13" x14ac:dyDescent="0.3">
      <c r="A547" s="179"/>
      <c r="B547" s="444"/>
      <c r="C547" s="444"/>
      <c r="D547" s="444"/>
      <c r="E547" s="444"/>
      <c r="F547" s="444"/>
      <c r="G547" s="444"/>
      <c r="J547" s="445"/>
      <c r="K547" s="445"/>
      <c r="L547" s="445"/>
      <c r="M547" s="76"/>
    </row>
    <row r="548" spans="1:13" x14ac:dyDescent="0.3"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6"/>
    </row>
    <row r="549" spans="1:13" ht="23.4" x14ac:dyDescent="0.45">
      <c r="A549" s="52"/>
      <c r="B549" s="446"/>
      <c r="C549" s="446"/>
      <c r="D549" s="446"/>
      <c r="E549" s="446"/>
      <c r="F549" s="446"/>
      <c r="G549" s="446"/>
      <c r="H549" s="446"/>
      <c r="I549" s="446"/>
      <c r="J549" s="52"/>
      <c r="M549" s="28"/>
    </row>
    <row r="550" spans="1:13" x14ac:dyDescent="0.3">
      <c r="B550" s="444"/>
      <c r="C550" s="444"/>
      <c r="D550" s="444"/>
      <c r="E550" s="444"/>
      <c r="F550" s="444"/>
      <c r="G550" s="444"/>
      <c r="H550" s="444"/>
      <c r="I550" s="444"/>
      <c r="J550" s="444"/>
      <c r="K550" s="444"/>
      <c r="L550" s="444"/>
      <c r="M550" s="13"/>
    </row>
    <row r="551" spans="1:13" x14ac:dyDescent="0.3">
      <c r="B551" s="454"/>
      <c r="C551" s="454"/>
      <c r="D551" s="454"/>
      <c r="E551" s="454"/>
      <c r="K551" s="444"/>
      <c r="L551" s="444"/>
      <c r="M551" s="13"/>
    </row>
    <row r="552" spans="1:13" x14ac:dyDescent="0.3">
      <c r="A552" s="52"/>
      <c r="B552" s="454"/>
      <c r="C552" s="454"/>
      <c r="D552" s="454"/>
      <c r="E552" s="454"/>
      <c r="F552" s="52"/>
      <c r="G552" s="52"/>
      <c r="H552" s="52"/>
      <c r="I552" s="52"/>
      <c r="J552" s="52"/>
      <c r="K552" s="444"/>
      <c r="L552" s="444"/>
      <c r="M552" s="34"/>
    </row>
    <row r="553" spans="1:13" x14ac:dyDescent="0.3">
      <c r="A553" s="13"/>
      <c r="B553" s="455"/>
      <c r="C553" s="455"/>
      <c r="D553" s="455"/>
      <c r="E553" s="455"/>
      <c r="F553" s="445"/>
      <c r="G553" s="445"/>
      <c r="H553" s="445"/>
      <c r="I553" s="445"/>
      <c r="J553" s="445"/>
      <c r="K553" s="445"/>
      <c r="L553" s="445"/>
      <c r="M553" s="34"/>
    </row>
    <row r="554" spans="1:13" x14ac:dyDescent="0.3">
      <c r="A554" s="13"/>
      <c r="K554" s="6"/>
      <c r="L554" s="6"/>
      <c r="M554" s="74"/>
    </row>
    <row r="555" spans="1:13" ht="23.4" x14ac:dyDescent="0.45">
      <c r="A555" s="6"/>
      <c r="B555" s="52"/>
      <c r="C555" s="52"/>
      <c r="D555" s="52"/>
      <c r="E555" s="52"/>
      <c r="F555" s="456"/>
      <c r="G555" s="456"/>
      <c r="H555" s="456"/>
      <c r="I555" s="456"/>
      <c r="J555" s="456"/>
      <c r="K555" s="181"/>
      <c r="L555" s="28"/>
      <c r="M555" s="34"/>
    </row>
    <row r="556" spans="1:13" x14ac:dyDescent="0.3">
      <c r="B556" s="13"/>
      <c r="C556" s="13"/>
      <c r="D556" s="13"/>
      <c r="E556" s="13"/>
      <c r="F556" s="13"/>
      <c r="G556" s="13"/>
      <c r="H556" s="13"/>
      <c r="I556" s="13"/>
      <c r="J556" s="13"/>
      <c r="K556" s="448"/>
      <c r="L556" s="448"/>
      <c r="M556" s="74"/>
    </row>
    <row r="557" spans="1:13" x14ac:dyDescent="0.3">
      <c r="A557" s="182"/>
      <c r="B557" s="13"/>
      <c r="C557" s="13"/>
      <c r="D557" s="13"/>
      <c r="E557" s="13"/>
      <c r="F557" s="13"/>
      <c r="G557" s="13"/>
      <c r="H557" s="13"/>
      <c r="I557" s="13"/>
      <c r="J557" s="13"/>
      <c r="K557" s="448"/>
      <c r="L557" s="448"/>
      <c r="M557" s="34"/>
    </row>
    <row r="558" spans="1:13" x14ac:dyDescent="0.3">
      <c r="B558" s="6"/>
      <c r="C558" s="6"/>
      <c r="D558" s="6"/>
      <c r="E558" s="6"/>
      <c r="F558" s="6"/>
      <c r="G558" s="6"/>
      <c r="H558" s="6"/>
      <c r="I558" s="6"/>
      <c r="J558" s="6"/>
      <c r="K558" s="452"/>
      <c r="L558" s="452"/>
      <c r="M558" s="34"/>
    </row>
    <row r="559" spans="1:13" x14ac:dyDescent="0.3">
      <c r="A559" s="182"/>
      <c r="K559" s="452"/>
      <c r="L559" s="452"/>
      <c r="M559" s="34"/>
    </row>
    <row r="560" spans="1:13" x14ac:dyDescent="0.3">
      <c r="A560" s="182"/>
      <c r="B560" s="182"/>
      <c r="C560" s="183"/>
      <c r="D560" s="184"/>
      <c r="E560" s="184"/>
      <c r="K560" s="453"/>
      <c r="L560" s="453"/>
      <c r="M560" s="34"/>
    </row>
    <row r="561" spans="1:13" x14ac:dyDescent="0.3">
      <c r="A561" s="182"/>
      <c r="B561" s="185"/>
      <c r="C561" s="184"/>
      <c r="D561" s="186"/>
      <c r="E561" s="184"/>
      <c r="F561" s="184"/>
      <c r="G561" s="184"/>
      <c r="H561" s="184"/>
      <c r="I561" s="187"/>
      <c r="K561" s="452"/>
      <c r="L561" s="452"/>
      <c r="M561" s="34"/>
    </row>
    <row r="562" spans="1:13" x14ac:dyDescent="0.3">
      <c r="A562" s="160"/>
      <c r="B562" s="182"/>
      <c r="C562" s="183"/>
      <c r="D562" s="188"/>
      <c r="E562" s="188"/>
      <c r="I562" s="189"/>
      <c r="K562" s="453"/>
      <c r="L562" s="453"/>
      <c r="M562" s="34"/>
    </row>
    <row r="563" spans="1:13" x14ac:dyDescent="0.3">
      <c r="A563" s="161"/>
      <c r="B563" s="185"/>
      <c r="C563" s="184"/>
      <c r="D563" s="184"/>
      <c r="E563" s="184"/>
      <c r="F563" s="184"/>
      <c r="G563" s="184"/>
      <c r="H563" s="184"/>
      <c r="I563" s="189"/>
      <c r="K563" s="452"/>
      <c r="L563" s="452"/>
      <c r="M563" s="34"/>
    </row>
    <row r="564" spans="1:13" ht="14.4" x14ac:dyDescent="0.3">
      <c r="A564" s="162"/>
      <c r="B564" s="190"/>
      <c r="C564" s="187"/>
      <c r="D564" s="191"/>
      <c r="E564" s="192"/>
      <c r="F564" s="128"/>
      <c r="G564" s="128"/>
      <c r="H564" s="128"/>
      <c r="I564" s="189"/>
      <c r="K564" s="452"/>
      <c r="L564" s="452"/>
      <c r="M564" s="34"/>
    </row>
    <row r="565" spans="1:13" ht="14.4" x14ac:dyDescent="0.3">
      <c r="A565" s="163"/>
      <c r="B565" s="164"/>
      <c r="C565" s="165"/>
      <c r="D565" s="166"/>
      <c r="E565" s="166"/>
      <c r="F565" s="128"/>
      <c r="G565" s="128"/>
      <c r="H565" s="128"/>
      <c r="I565" s="167"/>
      <c r="K565" s="452"/>
      <c r="L565" s="452"/>
      <c r="M565" s="34"/>
    </row>
    <row r="566" spans="1:13" ht="14.4" x14ac:dyDescent="0.3">
      <c r="A566" s="168"/>
      <c r="B566" s="169"/>
      <c r="C566" s="165"/>
      <c r="D566" s="170"/>
      <c r="E566" s="128"/>
      <c r="F566" s="128"/>
      <c r="G566" s="128"/>
      <c r="H566" s="128"/>
      <c r="I566" s="167"/>
      <c r="J566" s="6"/>
      <c r="K566" s="452"/>
      <c r="L566" s="452"/>
      <c r="M566" s="74"/>
    </row>
    <row r="567" spans="1:13" ht="14.4" x14ac:dyDescent="0.3">
      <c r="A567" s="160"/>
      <c r="B567" s="169"/>
      <c r="C567" s="165"/>
      <c r="D567" s="170"/>
      <c r="E567" s="128"/>
      <c r="F567" s="128"/>
      <c r="G567" s="128"/>
      <c r="H567" s="128"/>
      <c r="I567" s="167"/>
      <c r="J567" s="6"/>
      <c r="K567" s="452"/>
      <c r="L567" s="452"/>
      <c r="M567" s="6"/>
    </row>
    <row r="568" spans="1:13" ht="14.4" x14ac:dyDescent="0.3">
      <c r="B568" s="169"/>
      <c r="C568" s="128"/>
      <c r="D568" s="170"/>
      <c r="E568" s="128"/>
      <c r="F568" s="128"/>
      <c r="G568" s="128"/>
      <c r="H568" s="128"/>
      <c r="I568" s="167"/>
      <c r="K568" s="452"/>
      <c r="L568" s="452"/>
      <c r="M568" s="6"/>
    </row>
    <row r="569" spans="1:13" ht="14.4" x14ac:dyDescent="0.3">
      <c r="A569" s="6"/>
      <c r="B569" s="169"/>
      <c r="C569" s="128"/>
      <c r="D569" s="128"/>
      <c r="E569" s="128"/>
      <c r="F569" s="128"/>
      <c r="G569" s="128"/>
      <c r="H569" s="128"/>
      <c r="I569" s="167"/>
      <c r="K569" s="452"/>
      <c r="L569" s="452"/>
      <c r="M569" s="6"/>
    </row>
    <row r="570" spans="1:13" x14ac:dyDescent="0.3">
      <c r="A570" s="6"/>
      <c r="B570" s="40"/>
      <c r="C570" s="160"/>
      <c r="D570" s="40"/>
      <c r="K570" s="452"/>
      <c r="L570" s="452"/>
      <c r="M570" s="6"/>
    </row>
    <row r="571" spans="1:13" x14ac:dyDescent="0.3">
      <c r="B571" s="171"/>
      <c r="C571" s="160"/>
      <c r="D571" s="40"/>
      <c r="E571" s="172"/>
      <c r="K571" s="452"/>
      <c r="L571" s="452"/>
      <c r="M571" s="124"/>
    </row>
    <row r="572" spans="1:13" x14ac:dyDescent="0.3">
      <c r="B572" s="6"/>
      <c r="C572" s="6"/>
      <c r="D572" s="6"/>
      <c r="E572" s="6"/>
      <c r="F572" s="6"/>
      <c r="G572" s="445"/>
      <c r="H572" s="445"/>
      <c r="I572" s="445"/>
      <c r="J572" s="445"/>
      <c r="K572" s="453"/>
      <c r="L572" s="453"/>
      <c r="M572" s="173"/>
    </row>
    <row r="573" spans="1:13" x14ac:dyDescent="0.3">
      <c r="B573" s="6"/>
      <c r="C573" s="6"/>
      <c r="D573" s="6"/>
      <c r="E573" s="6"/>
      <c r="F573" s="6"/>
      <c r="G573" s="444"/>
      <c r="H573" s="444"/>
      <c r="I573" s="444"/>
      <c r="J573" s="444"/>
      <c r="K573" s="444"/>
      <c r="L573" s="444"/>
      <c r="M573" s="173"/>
    </row>
    <row r="574" spans="1:13" x14ac:dyDescent="0.3">
      <c r="A574" s="124"/>
      <c r="B574" s="449"/>
      <c r="C574" s="449"/>
      <c r="D574" s="449"/>
      <c r="E574" s="449"/>
      <c r="F574" s="449"/>
      <c r="G574" s="444"/>
      <c r="H574" s="444"/>
      <c r="I574" s="444"/>
      <c r="J574" s="444"/>
      <c r="K574" s="444"/>
      <c r="L574" s="444"/>
      <c r="M574" s="174"/>
    </row>
    <row r="575" spans="1:13" x14ac:dyDescent="0.3">
      <c r="A575" s="124"/>
      <c r="B575" s="449"/>
      <c r="C575" s="449"/>
      <c r="D575" s="449"/>
      <c r="E575" s="449"/>
      <c r="F575" s="449"/>
      <c r="G575" s="444"/>
      <c r="H575" s="444"/>
      <c r="I575" s="444"/>
      <c r="J575" s="444"/>
      <c r="K575" s="444"/>
      <c r="L575" s="444"/>
      <c r="M575" s="136"/>
    </row>
    <row r="576" spans="1:13" x14ac:dyDescent="0.3">
      <c r="A576" s="124"/>
      <c r="B576" s="449"/>
      <c r="C576" s="449"/>
      <c r="D576" s="449"/>
      <c r="E576" s="449"/>
      <c r="F576" s="449"/>
      <c r="G576" s="444"/>
      <c r="H576" s="444"/>
      <c r="I576" s="444"/>
      <c r="J576" s="444"/>
      <c r="K576" s="444"/>
      <c r="L576" s="444"/>
      <c r="M576" s="6"/>
    </row>
    <row r="577" spans="1:13" x14ac:dyDescent="0.3">
      <c r="A577" s="124"/>
      <c r="B577" s="124"/>
      <c r="C577" s="124"/>
      <c r="D577" s="124"/>
      <c r="E577" s="124"/>
      <c r="F577" s="124"/>
      <c r="G577" s="449"/>
      <c r="H577" s="449"/>
      <c r="I577" s="449"/>
      <c r="J577" s="449"/>
      <c r="K577" s="449"/>
      <c r="L577" s="449"/>
    </row>
    <row r="578" spans="1:13" x14ac:dyDescent="0.3">
      <c r="A578" s="6"/>
      <c r="B578" s="124"/>
      <c r="C578" s="124"/>
      <c r="D578" s="124"/>
      <c r="E578" s="124"/>
      <c r="F578" s="124"/>
      <c r="G578" s="175"/>
      <c r="H578" s="175"/>
      <c r="I578" s="175"/>
      <c r="J578" s="173"/>
      <c r="K578" s="173"/>
      <c r="L578" s="173"/>
    </row>
    <row r="579" spans="1:13" x14ac:dyDescent="0.3">
      <c r="A579" s="6"/>
      <c r="B579" s="124"/>
      <c r="C579" s="124"/>
      <c r="D579" s="124"/>
      <c r="E579" s="124"/>
      <c r="F579" s="124"/>
      <c r="G579" s="175"/>
      <c r="H579" s="175"/>
      <c r="I579" s="175"/>
      <c r="J579" s="173"/>
      <c r="K579" s="173"/>
      <c r="L579" s="173"/>
      <c r="M579" s="6"/>
    </row>
    <row r="580" spans="1:13" x14ac:dyDescent="0.3">
      <c r="A580" s="124"/>
      <c r="B580" s="124"/>
      <c r="C580" s="124"/>
      <c r="D580" s="124"/>
      <c r="E580" s="124"/>
      <c r="F580" s="124"/>
      <c r="G580" s="450"/>
      <c r="H580" s="450"/>
      <c r="I580" s="450"/>
      <c r="J580" s="450"/>
      <c r="K580" s="450"/>
      <c r="L580" s="450"/>
      <c r="M580" s="6"/>
    </row>
    <row r="581" spans="1:13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451"/>
      <c r="K581" s="451"/>
      <c r="L581" s="451"/>
      <c r="M581" s="6"/>
    </row>
    <row r="582" spans="1:13" x14ac:dyDescent="0.3">
      <c r="A582" s="124"/>
      <c r="B582" s="6"/>
      <c r="C582" s="6"/>
      <c r="D582" s="6"/>
      <c r="E582" s="112"/>
      <c r="F582" s="112"/>
      <c r="J582" s="444"/>
      <c r="K582" s="444"/>
      <c r="L582" s="444"/>
      <c r="M582" s="6"/>
    </row>
    <row r="583" spans="1:13" x14ac:dyDescent="0.3">
      <c r="A583" s="6"/>
      <c r="B583" s="124"/>
      <c r="C583" s="124"/>
      <c r="D583" s="124"/>
      <c r="E583" s="112"/>
      <c r="F583" s="112"/>
      <c r="M583" s="6"/>
    </row>
    <row r="584" spans="1:13" x14ac:dyDescent="0.3">
      <c r="A584" s="76"/>
      <c r="B584" s="6"/>
      <c r="C584" s="6"/>
      <c r="D584" s="6"/>
      <c r="E584" s="112"/>
      <c r="F584" s="112"/>
    </row>
    <row r="585" spans="1:13" x14ac:dyDescent="0.3">
      <c r="A585" s="176"/>
      <c r="B585" s="124"/>
      <c r="C585" s="124"/>
      <c r="D585" s="124"/>
      <c r="E585" s="112"/>
      <c r="F585" s="112"/>
      <c r="J585" s="444"/>
      <c r="K585" s="444"/>
      <c r="L585" s="444"/>
    </row>
    <row r="586" spans="1:13" x14ac:dyDescent="0.3">
      <c r="A586" s="176"/>
      <c r="B586" s="6"/>
      <c r="C586" s="6"/>
      <c r="D586" s="6"/>
      <c r="E586" s="112"/>
      <c r="F586" s="112"/>
      <c r="J586" s="444"/>
      <c r="K586" s="444"/>
      <c r="L586" s="444"/>
      <c r="M586" s="159"/>
    </row>
    <row r="587" spans="1:13" x14ac:dyDescent="0.3">
      <c r="B587" s="76"/>
      <c r="C587" s="76"/>
      <c r="D587" s="76"/>
      <c r="E587" s="76"/>
      <c r="F587" s="76"/>
      <c r="G587" s="76"/>
      <c r="H587" s="76"/>
      <c r="I587" s="76"/>
      <c r="K587" s="444"/>
      <c r="L587" s="444"/>
      <c r="M587" s="13"/>
    </row>
    <row r="588" spans="1:13" x14ac:dyDescent="0.3">
      <c r="A588" s="6"/>
      <c r="B588" s="176"/>
      <c r="C588" s="176"/>
      <c r="D588" s="176"/>
      <c r="E588" s="176"/>
      <c r="F588" s="176"/>
      <c r="G588" s="176"/>
      <c r="H588" s="176"/>
      <c r="I588" s="176"/>
      <c r="K588" s="447"/>
      <c r="L588" s="444"/>
      <c r="M588" s="13"/>
    </row>
    <row r="589" spans="1:13" x14ac:dyDescent="0.3">
      <c r="A589" s="159"/>
      <c r="B589" s="176"/>
      <c r="C589" s="176"/>
      <c r="D589" s="176"/>
      <c r="E589" s="176"/>
      <c r="F589" s="176"/>
      <c r="G589" s="176"/>
      <c r="H589" s="176"/>
      <c r="I589" s="176"/>
      <c r="J589" s="444"/>
      <c r="K589" s="444"/>
      <c r="L589" s="444"/>
      <c r="M589" s="112"/>
    </row>
    <row r="590" spans="1:13" x14ac:dyDescent="0.3">
      <c r="A590" s="136"/>
      <c r="M590" s="178"/>
    </row>
    <row r="591" spans="1:13" x14ac:dyDescent="0.3">
      <c r="A591" s="136"/>
      <c r="B591" s="6"/>
      <c r="C591" s="6"/>
      <c r="D591" s="6"/>
      <c r="E591" s="6"/>
      <c r="F591" s="6"/>
      <c r="G591" s="6"/>
      <c r="H591" s="6"/>
      <c r="I591" s="6"/>
      <c r="J591" s="6"/>
      <c r="K591" s="6"/>
      <c r="M591" s="178"/>
    </row>
    <row r="592" spans="1:13" x14ac:dyDescent="0.3">
      <c r="A592" s="52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12"/>
    </row>
    <row r="593" spans="1:13" x14ac:dyDescent="0.3">
      <c r="A593" s="52"/>
      <c r="B593" s="448"/>
      <c r="C593" s="448"/>
      <c r="D593" s="448"/>
      <c r="E593" s="448"/>
      <c r="F593" s="448"/>
      <c r="G593" s="448"/>
      <c r="H593" s="445"/>
      <c r="I593" s="445"/>
      <c r="J593" s="448"/>
      <c r="K593" s="448"/>
      <c r="L593" s="448"/>
      <c r="M593" s="112"/>
    </row>
    <row r="594" spans="1:13" x14ac:dyDescent="0.3">
      <c r="A594" s="52"/>
      <c r="B594" s="448"/>
      <c r="C594" s="448"/>
      <c r="D594" s="448"/>
      <c r="E594" s="448"/>
      <c r="F594" s="448"/>
      <c r="G594" s="448"/>
      <c r="H594" s="445"/>
      <c r="I594" s="445"/>
      <c r="J594" s="448"/>
      <c r="K594" s="448"/>
      <c r="L594" s="448"/>
      <c r="M594" s="112"/>
    </row>
    <row r="595" spans="1:13" x14ac:dyDescent="0.3">
      <c r="B595" s="444"/>
      <c r="C595" s="444"/>
      <c r="D595" s="444"/>
      <c r="E595" s="444"/>
      <c r="F595" s="444"/>
      <c r="G595" s="444"/>
      <c r="H595" s="445"/>
      <c r="I595" s="445"/>
      <c r="K595" s="178"/>
      <c r="L595" s="112"/>
      <c r="M595" s="112"/>
    </row>
    <row r="596" spans="1:13" x14ac:dyDescent="0.3">
      <c r="B596" s="444"/>
      <c r="C596" s="444"/>
      <c r="D596" s="444"/>
      <c r="E596" s="444"/>
      <c r="F596" s="444"/>
      <c r="G596" s="444"/>
      <c r="H596" s="445"/>
      <c r="I596" s="445"/>
      <c r="K596" s="178"/>
      <c r="L596" s="178"/>
      <c r="M596" s="112"/>
    </row>
    <row r="597" spans="1:13" x14ac:dyDescent="0.3">
      <c r="B597" s="444"/>
      <c r="C597" s="444"/>
      <c r="D597" s="444"/>
      <c r="E597" s="444"/>
      <c r="F597" s="444"/>
      <c r="G597" s="444"/>
      <c r="H597" s="445"/>
      <c r="I597" s="445"/>
      <c r="K597" s="112"/>
      <c r="L597" s="178"/>
      <c r="M597" s="112"/>
    </row>
    <row r="598" spans="1:13" x14ac:dyDescent="0.3">
      <c r="B598" s="444"/>
      <c r="C598" s="444"/>
      <c r="D598" s="444"/>
      <c r="E598" s="444"/>
      <c r="F598" s="444"/>
      <c r="G598" s="444"/>
      <c r="H598" s="444"/>
      <c r="I598" s="444"/>
      <c r="K598" s="112"/>
      <c r="L598" s="112"/>
      <c r="M598" s="178"/>
    </row>
    <row r="599" spans="1:13" x14ac:dyDescent="0.3">
      <c r="B599" s="444"/>
      <c r="C599" s="444"/>
      <c r="D599" s="444"/>
      <c r="E599" s="444"/>
      <c r="F599" s="444"/>
      <c r="G599" s="444"/>
      <c r="H599" s="444"/>
      <c r="I599" s="444"/>
      <c r="K599" s="112"/>
      <c r="L599" s="112"/>
      <c r="M599" s="76"/>
    </row>
    <row r="600" spans="1:13" x14ac:dyDescent="0.3">
      <c r="B600" s="444"/>
      <c r="C600" s="444"/>
      <c r="D600" s="444"/>
      <c r="E600" s="444"/>
      <c r="F600" s="444"/>
      <c r="G600" s="444"/>
      <c r="H600" s="444"/>
      <c r="I600" s="444"/>
      <c r="K600" s="112"/>
      <c r="L600" s="112"/>
      <c r="M600" s="159"/>
    </row>
    <row r="601" spans="1:13" x14ac:dyDescent="0.3">
      <c r="B601" s="444"/>
      <c r="C601" s="444"/>
      <c r="D601" s="444"/>
      <c r="E601" s="444"/>
      <c r="F601" s="444"/>
      <c r="G601" s="444"/>
      <c r="H601" s="444"/>
      <c r="I601" s="444"/>
      <c r="K601" s="112"/>
      <c r="L601" s="112"/>
    </row>
    <row r="602" spans="1:13" x14ac:dyDescent="0.3">
      <c r="B602" s="444"/>
      <c r="C602" s="444"/>
      <c r="D602" s="444"/>
      <c r="E602" s="444"/>
      <c r="F602" s="444"/>
      <c r="G602" s="444"/>
      <c r="H602" s="444"/>
      <c r="I602" s="444"/>
      <c r="K602" s="112"/>
      <c r="L602" s="112"/>
      <c r="M602" s="6"/>
    </row>
    <row r="603" spans="1:13" x14ac:dyDescent="0.3">
      <c r="A603" s="159"/>
      <c r="B603" s="444"/>
      <c r="C603" s="444"/>
      <c r="D603" s="444"/>
      <c r="E603" s="444"/>
      <c r="F603" s="444"/>
      <c r="G603" s="444"/>
      <c r="H603" s="444"/>
      <c r="I603" s="444"/>
      <c r="K603" s="112"/>
      <c r="L603" s="112"/>
      <c r="M603" s="6"/>
    </row>
    <row r="604" spans="1:13" x14ac:dyDescent="0.3">
      <c r="B604" s="444"/>
      <c r="C604" s="444"/>
      <c r="D604" s="444"/>
      <c r="E604" s="444"/>
      <c r="F604" s="444"/>
      <c r="G604" s="444"/>
      <c r="H604" s="444"/>
      <c r="I604" s="444"/>
      <c r="K604" s="178"/>
      <c r="L604" s="178"/>
      <c r="M604" s="6"/>
    </row>
    <row r="605" spans="1:13" x14ac:dyDescent="0.3">
      <c r="A605" s="179"/>
      <c r="B605" s="444"/>
      <c r="C605" s="444"/>
      <c r="D605" s="444"/>
      <c r="E605" s="444"/>
      <c r="F605" s="444"/>
      <c r="G605" s="444"/>
      <c r="J605" s="445"/>
      <c r="K605" s="445"/>
      <c r="L605" s="445"/>
      <c r="M605" s="76"/>
    </row>
    <row r="606" spans="1:13" x14ac:dyDescent="0.3"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6"/>
    </row>
    <row r="607" spans="1:13" ht="23.4" x14ac:dyDescent="0.45">
      <c r="A607" s="52"/>
      <c r="B607" s="446"/>
      <c r="C607" s="446"/>
      <c r="D607" s="446"/>
      <c r="E607" s="446"/>
      <c r="F607" s="446"/>
      <c r="G607" s="446"/>
      <c r="H607" s="446"/>
      <c r="I607" s="446"/>
      <c r="J607" s="52"/>
      <c r="M607" s="28"/>
    </row>
    <row r="608" spans="1:13" x14ac:dyDescent="0.3">
      <c r="B608" s="444"/>
      <c r="C608" s="444"/>
      <c r="D608" s="444"/>
      <c r="E608" s="444"/>
      <c r="F608" s="444"/>
      <c r="G608" s="444"/>
      <c r="H608" s="444"/>
      <c r="I608" s="444"/>
      <c r="J608" s="444"/>
      <c r="K608" s="444"/>
      <c r="L608" s="444"/>
      <c r="M608" s="13"/>
    </row>
    <row r="609" spans="1:13" x14ac:dyDescent="0.3">
      <c r="B609" s="454"/>
      <c r="C609" s="454"/>
      <c r="D609" s="454"/>
      <c r="E609" s="454"/>
      <c r="K609" s="444"/>
      <c r="L609" s="444"/>
      <c r="M609" s="13"/>
    </row>
    <row r="610" spans="1:13" x14ac:dyDescent="0.3">
      <c r="A610" s="52"/>
      <c r="B610" s="454"/>
      <c r="C610" s="454"/>
      <c r="D610" s="454"/>
      <c r="E610" s="454"/>
      <c r="F610" s="52"/>
      <c r="G610" s="52"/>
      <c r="H610" s="52"/>
      <c r="I610" s="52"/>
      <c r="J610" s="52"/>
      <c r="K610" s="444"/>
      <c r="L610" s="444"/>
      <c r="M610" s="34"/>
    </row>
    <row r="611" spans="1:13" x14ac:dyDescent="0.3">
      <c r="A611" s="13"/>
      <c r="B611" s="455"/>
      <c r="C611" s="455"/>
      <c r="D611" s="455"/>
      <c r="E611" s="455"/>
      <c r="F611" s="445"/>
      <c r="G611" s="445"/>
      <c r="H611" s="445"/>
      <c r="I611" s="445"/>
      <c r="J611" s="445"/>
      <c r="K611" s="445"/>
      <c r="L611" s="445"/>
      <c r="M611" s="34"/>
    </row>
    <row r="612" spans="1:13" x14ac:dyDescent="0.3">
      <c r="A612" s="13"/>
      <c r="K612" s="6"/>
      <c r="L612" s="6"/>
      <c r="M612" s="74"/>
    </row>
    <row r="613" spans="1:13" ht="23.4" x14ac:dyDescent="0.45">
      <c r="A613" s="6"/>
      <c r="B613" s="52"/>
      <c r="C613" s="52"/>
      <c r="D613" s="52"/>
      <c r="E613" s="52"/>
      <c r="F613" s="456"/>
      <c r="G613" s="456"/>
      <c r="H613" s="456"/>
      <c r="I613" s="456"/>
      <c r="J613" s="456"/>
      <c r="K613" s="181"/>
      <c r="L613" s="28"/>
      <c r="M613" s="34"/>
    </row>
    <row r="614" spans="1:13" x14ac:dyDescent="0.3">
      <c r="B614" s="13"/>
      <c r="C614" s="13"/>
      <c r="D614" s="13"/>
      <c r="E614" s="13"/>
      <c r="F614" s="13"/>
      <c r="G614" s="13"/>
      <c r="H614" s="13"/>
      <c r="I614" s="13"/>
      <c r="J614" s="13"/>
      <c r="K614" s="448"/>
      <c r="L614" s="448"/>
      <c r="M614" s="74"/>
    </row>
    <row r="615" spans="1:13" x14ac:dyDescent="0.3">
      <c r="A615" s="182"/>
      <c r="B615" s="13"/>
      <c r="C615" s="13"/>
      <c r="D615" s="13"/>
      <c r="E615" s="13"/>
      <c r="F615" s="13"/>
      <c r="G615" s="13"/>
      <c r="H615" s="13"/>
      <c r="I615" s="13"/>
      <c r="J615" s="13"/>
      <c r="K615" s="448"/>
      <c r="L615" s="448"/>
      <c r="M615" s="34"/>
    </row>
    <row r="616" spans="1:13" x14ac:dyDescent="0.3">
      <c r="B616" s="6"/>
      <c r="C616" s="6"/>
      <c r="D616" s="6"/>
      <c r="E616" s="6"/>
      <c r="F616" s="6"/>
      <c r="G616" s="6"/>
      <c r="H616" s="6"/>
      <c r="I616" s="6"/>
      <c r="J616" s="6"/>
      <c r="K616" s="452"/>
      <c r="L616" s="452"/>
      <c r="M616" s="34"/>
    </row>
    <row r="617" spans="1:13" x14ac:dyDescent="0.3">
      <c r="A617" s="182"/>
      <c r="K617" s="452"/>
      <c r="L617" s="452"/>
      <c r="M617" s="34"/>
    </row>
    <row r="618" spans="1:13" x14ac:dyDescent="0.3">
      <c r="A618" s="182"/>
      <c r="B618" s="182"/>
      <c r="C618" s="183"/>
      <c r="D618" s="184"/>
      <c r="E618" s="184"/>
      <c r="K618" s="453"/>
      <c r="L618" s="453"/>
      <c r="M618" s="34"/>
    </row>
    <row r="619" spans="1:13" x14ac:dyDescent="0.3">
      <c r="A619" s="182"/>
      <c r="B619" s="185"/>
      <c r="C619" s="184"/>
      <c r="D619" s="186"/>
      <c r="E619" s="184"/>
      <c r="F619" s="184"/>
      <c r="G619" s="184"/>
      <c r="H619" s="184"/>
      <c r="I619" s="187"/>
      <c r="K619" s="452"/>
      <c r="L619" s="452"/>
      <c r="M619" s="34"/>
    </row>
    <row r="620" spans="1:13" x14ac:dyDescent="0.3">
      <c r="A620" s="160"/>
      <c r="B620" s="182"/>
      <c r="C620" s="183"/>
      <c r="D620" s="188"/>
      <c r="E620" s="188"/>
      <c r="I620" s="189"/>
      <c r="K620" s="453"/>
      <c r="L620" s="453"/>
      <c r="M620" s="34"/>
    </row>
    <row r="621" spans="1:13" x14ac:dyDescent="0.3">
      <c r="A621" s="161"/>
      <c r="B621" s="185"/>
      <c r="C621" s="184"/>
      <c r="D621" s="184"/>
      <c r="E621" s="184"/>
      <c r="F621" s="184"/>
      <c r="G621" s="184"/>
      <c r="H621" s="184"/>
      <c r="I621" s="189"/>
      <c r="K621" s="452"/>
      <c r="L621" s="452"/>
      <c r="M621" s="34"/>
    </row>
    <row r="622" spans="1:13" ht="14.4" x14ac:dyDescent="0.3">
      <c r="A622" s="162"/>
      <c r="B622" s="190"/>
      <c r="C622" s="187"/>
      <c r="D622" s="191"/>
      <c r="E622" s="192"/>
      <c r="F622" s="128"/>
      <c r="G622" s="128"/>
      <c r="H622" s="128"/>
      <c r="I622" s="189"/>
      <c r="K622" s="452"/>
      <c r="L622" s="452"/>
      <c r="M622" s="34"/>
    </row>
    <row r="623" spans="1:13" ht="14.4" x14ac:dyDescent="0.3">
      <c r="A623" s="163"/>
      <c r="B623" s="164"/>
      <c r="C623" s="165"/>
      <c r="D623" s="166"/>
      <c r="E623" s="166"/>
      <c r="F623" s="128"/>
      <c r="G623" s="128"/>
      <c r="H623" s="128"/>
      <c r="I623" s="167"/>
      <c r="K623" s="452"/>
      <c r="L623" s="452"/>
      <c r="M623" s="34"/>
    </row>
    <row r="624" spans="1:13" ht="14.4" x14ac:dyDescent="0.3">
      <c r="A624" s="168"/>
      <c r="B624" s="169"/>
      <c r="C624" s="165"/>
      <c r="D624" s="170"/>
      <c r="E624" s="128"/>
      <c r="F624" s="128"/>
      <c r="G624" s="128"/>
      <c r="H624" s="128"/>
      <c r="I624" s="167"/>
      <c r="J624" s="6"/>
      <c r="K624" s="452"/>
      <c r="L624" s="452"/>
      <c r="M624" s="74"/>
    </row>
    <row r="625" spans="1:13" ht="14.4" x14ac:dyDescent="0.3">
      <c r="A625" s="160"/>
      <c r="B625" s="169"/>
      <c r="C625" s="165"/>
      <c r="D625" s="170"/>
      <c r="E625" s="128"/>
      <c r="F625" s="128"/>
      <c r="G625" s="128"/>
      <c r="H625" s="128"/>
      <c r="I625" s="167"/>
      <c r="J625" s="6"/>
      <c r="K625" s="452"/>
      <c r="L625" s="452"/>
      <c r="M625" s="6"/>
    </row>
    <row r="626" spans="1:13" ht="14.4" x14ac:dyDescent="0.3">
      <c r="B626" s="169"/>
      <c r="C626" s="128"/>
      <c r="D626" s="170"/>
      <c r="E626" s="128"/>
      <c r="F626" s="128"/>
      <c r="G626" s="128"/>
      <c r="H626" s="128"/>
      <c r="I626" s="167"/>
      <c r="K626" s="452"/>
      <c r="L626" s="452"/>
      <c r="M626" s="6"/>
    </row>
    <row r="627" spans="1:13" ht="14.4" x14ac:dyDescent="0.3">
      <c r="A627" s="6"/>
      <c r="B627" s="169"/>
      <c r="C627" s="128"/>
      <c r="D627" s="128"/>
      <c r="E627" s="128"/>
      <c r="F627" s="128"/>
      <c r="G627" s="128"/>
      <c r="H627" s="128"/>
      <c r="I627" s="167"/>
      <c r="K627" s="452"/>
      <c r="L627" s="452"/>
      <c r="M627" s="6"/>
    </row>
    <row r="628" spans="1:13" x14ac:dyDescent="0.3">
      <c r="A628" s="6"/>
      <c r="B628" s="40"/>
      <c r="C628" s="160"/>
      <c r="D628" s="40"/>
      <c r="K628" s="452"/>
      <c r="L628" s="452"/>
      <c r="M628" s="6"/>
    </row>
    <row r="629" spans="1:13" x14ac:dyDescent="0.3">
      <c r="B629" s="171"/>
      <c r="C629" s="160"/>
      <c r="D629" s="40"/>
      <c r="E629" s="172"/>
      <c r="K629" s="452"/>
      <c r="L629" s="452"/>
      <c r="M629" s="124"/>
    </row>
    <row r="630" spans="1:13" x14ac:dyDescent="0.3">
      <c r="B630" s="6"/>
      <c r="C630" s="6"/>
      <c r="D630" s="6"/>
      <c r="E630" s="6"/>
      <c r="F630" s="6"/>
      <c r="G630" s="445"/>
      <c r="H630" s="445"/>
      <c r="I630" s="445"/>
      <c r="J630" s="445"/>
      <c r="K630" s="453"/>
      <c r="L630" s="453"/>
      <c r="M630" s="173"/>
    </row>
    <row r="631" spans="1:13" x14ac:dyDescent="0.3">
      <c r="B631" s="6"/>
      <c r="C631" s="6"/>
      <c r="D631" s="6"/>
      <c r="E631" s="6"/>
      <c r="F631" s="6"/>
      <c r="G631" s="444"/>
      <c r="H631" s="444"/>
      <c r="I631" s="444"/>
      <c r="J631" s="444"/>
      <c r="K631" s="444"/>
      <c r="L631" s="444"/>
      <c r="M631" s="173"/>
    </row>
    <row r="632" spans="1:13" x14ac:dyDescent="0.3">
      <c r="A632" s="124"/>
      <c r="B632" s="449"/>
      <c r="C632" s="449"/>
      <c r="D632" s="449"/>
      <c r="E632" s="449"/>
      <c r="F632" s="449"/>
      <c r="G632" s="444"/>
      <c r="H632" s="444"/>
      <c r="I632" s="444"/>
      <c r="J632" s="444"/>
      <c r="K632" s="444"/>
      <c r="L632" s="444"/>
      <c r="M632" s="174"/>
    </row>
    <row r="633" spans="1:13" x14ac:dyDescent="0.3">
      <c r="A633" s="124"/>
      <c r="B633" s="449"/>
      <c r="C633" s="449"/>
      <c r="D633" s="449"/>
      <c r="E633" s="449"/>
      <c r="F633" s="449"/>
      <c r="G633" s="444"/>
      <c r="H633" s="444"/>
      <c r="I633" s="444"/>
      <c r="J633" s="444"/>
      <c r="K633" s="444"/>
      <c r="L633" s="444"/>
      <c r="M633" s="136"/>
    </row>
    <row r="634" spans="1:13" x14ac:dyDescent="0.3">
      <c r="A634" s="124"/>
      <c r="B634" s="449"/>
      <c r="C634" s="449"/>
      <c r="D634" s="449"/>
      <c r="E634" s="449"/>
      <c r="F634" s="449"/>
      <c r="G634" s="444"/>
      <c r="H634" s="444"/>
      <c r="I634" s="444"/>
      <c r="J634" s="444"/>
      <c r="K634" s="444"/>
      <c r="L634" s="444"/>
      <c r="M634" s="6"/>
    </row>
    <row r="635" spans="1:13" x14ac:dyDescent="0.3">
      <c r="A635" s="124"/>
      <c r="B635" s="124"/>
      <c r="C635" s="124"/>
      <c r="D635" s="124"/>
      <c r="E635" s="124"/>
      <c r="F635" s="124"/>
      <c r="G635" s="449"/>
      <c r="H635" s="449"/>
      <c r="I635" s="449"/>
      <c r="J635" s="449"/>
      <c r="K635" s="449"/>
      <c r="L635" s="449"/>
    </row>
    <row r="636" spans="1:13" x14ac:dyDescent="0.3">
      <c r="A636" s="6"/>
      <c r="B636" s="124"/>
      <c r="C636" s="124"/>
      <c r="D636" s="124"/>
      <c r="E636" s="124"/>
      <c r="F636" s="124"/>
      <c r="G636" s="175"/>
      <c r="H636" s="175"/>
      <c r="I636" s="175"/>
      <c r="J636" s="173"/>
      <c r="K636" s="173"/>
      <c r="L636" s="173"/>
    </row>
    <row r="637" spans="1:13" x14ac:dyDescent="0.3">
      <c r="A637" s="6"/>
      <c r="B637" s="124"/>
      <c r="C637" s="124"/>
      <c r="D637" s="124"/>
      <c r="E637" s="124"/>
      <c r="F637" s="124"/>
      <c r="G637" s="175"/>
      <c r="H637" s="175"/>
      <c r="I637" s="175"/>
      <c r="J637" s="173"/>
      <c r="K637" s="173"/>
      <c r="L637" s="173"/>
      <c r="M637" s="6"/>
    </row>
    <row r="638" spans="1:13" x14ac:dyDescent="0.3">
      <c r="A638" s="124"/>
      <c r="B638" s="124"/>
      <c r="C638" s="124"/>
      <c r="D638" s="124"/>
      <c r="E638" s="124"/>
      <c r="F638" s="124"/>
      <c r="G638" s="450"/>
      <c r="H638" s="450"/>
      <c r="I638" s="450"/>
      <c r="J638" s="450"/>
      <c r="K638" s="450"/>
      <c r="L638" s="450"/>
      <c r="M638" s="6"/>
    </row>
    <row r="639" spans="1:13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451"/>
      <c r="K639" s="451"/>
      <c r="L639" s="451"/>
      <c r="M639" s="6"/>
    </row>
    <row r="640" spans="1:13" x14ac:dyDescent="0.3">
      <c r="A640" s="124"/>
      <c r="B640" s="6"/>
      <c r="C640" s="6"/>
      <c r="D640" s="6"/>
      <c r="E640" s="112"/>
      <c r="F640" s="112"/>
      <c r="J640" s="444"/>
      <c r="K640" s="444"/>
      <c r="L640" s="444"/>
      <c r="M640" s="6"/>
    </row>
    <row r="641" spans="1:13" x14ac:dyDescent="0.3">
      <c r="A641" s="6"/>
      <c r="B641" s="124"/>
      <c r="C641" s="124"/>
      <c r="D641" s="124"/>
      <c r="E641" s="112"/>
      <c r="F641" s="112"/>
      <c r="M641" s="6"/>
    </row>
    <row r="642" spans="1:13" x14ac:dyDescent="0.3">
      <c r="A642" s="76"/>
      <c r="B642" s="6"/>
      <c r="C642" s="6"/>
      <c r="D642" s="6"/>
      <c r="E642" s="112"/>
      <c r="F642" s="112"/>
    </row>
    <row r="643" spans="1:13" x14ac:dyDescent="0.3">
      <c r="A643" s="176"/>
      <c r="B643" s="124"/>
      <c r="C643" s="124"/>
      <c r="D643" s="124"/>
      <c r="E643" s="112"/>
      <c r="F643" s="112"/>
      <c r="J643" s="444"/>
      <c r="K643" s="444"/>
      <c r="L643" s="444"/>
    </row>
    <row r="644" spans="1:13" x14ac:dyDescent="0.3">
      <c r="A644" s="176"/>
      <c r="B644" s="6"/>
      <c r="C644" s="6"/>
      <c r="D644" s="6"/>
      <c r="E644" s="112"/>
      <c r="F644" s="112"/>
      <c r="J644" s="444"/>
      <c r="K644" s="444"/>
      <c r="L644" s="444"/>
      <c r="M644" s="159"/>
    </row>
    <row r="645" spans="1:13" x14ac:dyDescent="0.3">
      <c r="B645" s="76"/>
      <c r="C645" s="76"/>
      <c r="D645" s="76"/>
      <c r="E645" s="76"/>
      <c r="F645" s="76"/>
      <c r="G645" s="76"/>
      <c r="H645" s="76"/>
      <c r="I645" s="76"/>
      <c r="K645" s="444"/>
      <c r="L645" s="444"/>
      <c r="M645" s="13"/>
    </row>
    <row r="646" spans="1:13" x14ac:dyDescent="0.3">
      <c r="A646" s="6"/>
      <c r="B646" s="176"/>
      <c r="C646" s="176"/>
      <c r="D646" s="176"/>
      <c r="E646" s="176"/>
      <c r="F646" s="176"/>
      <c r="G646" s="176"/>
      <c r="H646" s="176"/>
      <c r="I646" s="176"/>
      <c r="K646" s="447"/>
      <c r="L646" s="444"/>
      <c r="M646" s="13"/>
    </row>
    <row r="647" spans="1:13" x14ac:dyDescent="0.3">
      <c r="A647" s="159"/>
      <c r="B647" s="176"/>
      <c r="C647" s="176"/>
      <c r="D647" s="176"/>
      <c r="E647" s="176"/>
      <c r="F647" s="176"/>
      <c r="G647" s="176"/>
      <c r="H647" s="176"/>
      <c r="I647" s="176"/>
      <c r="J647" s="444"/>
      <c r="K647" s="444"/>
      <c r="L647" s="444"/>
      <c r="M647" s="112"/>
    </row>
    <row r="648" spans="1:13" x14ac:dyDescent="0.3">
      <c r="A648" s="136"/>
      <c r="M648" s="178"/>
    </row>
    <row r="649" spans="1:13" x14ac:dyDescent="0.3">
      <c r="A649" s="136"/>
      <c r="B649" s="6"/>
      <c r="C649" s="6"/>
      <c r="D649" s="6"/>
      <c r="E649" s="6"/>
      <c r="F649" s="6"/>
      <c r="G649" s="6"/>
      <c r="H649" s="6"/>
      <c r="I649" s="6"/>
      <c r="J649" s="6"/>
      <c r="K649" s="6"/>
      <c r="M649" s="178"/>
    </row>
    <row r="650" spans="1:13" x14ac:dyDescent="0.3">
      <c r="A650" s="52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12"/>
    </row>
    <row r="651" spans="1:13" x14ac:dyDescent="0.3">
      <c r="A651" s="52"/>
      <c r="B651" s="448"/>
      <c r="C651" s="448"/>
      <c r="D651" s="448"/>
      <c r="E651" s="448"/>
      <c r="F651" s="448"/>
      <c r="G651" s="448"/>
      <c r="H651" s="445"/>
      <c r="I651" s="445"/>
      <c r="J651" s="448"/>
      <c r="K651" s="448"/>
      <c r="L651" s="448"/>
      <c r="M651" s="112"/>
    </row>
    <row r="652" spans="1:13" x14ac:dyDescent="0.3">
      <c r="A652" s="52"/>
      <c r="B652" s="448"/>
      <c r="C652" s="448"/>
      <c r="D652" s="448"/>
      <c r="E652" s="448"/>
      <c r="F652" s="448"/>
      <c r="G652" s="448"/>
      <c r="H652" s="445"/>
      <c r="I652" s="445"/>
      <c r="J652" s="448"/>
      <c r="K652" s="448"/>
      <c r="L652" s="448"/>
      <c r="M652" s="112"/>
    </row>
    <row r="653" spans="1:13" x14ac:dyDescent="0.3">
      <c r="B653" s="444"/>
      <c r="C653" s="444"/>
      <c r="D653" s="444"/>
      <c r="E653" s="444"/>
      <c r="F653" s="444"/>
      <c r="G653" s="444"/>
      <c r="H653" s="445"/>
      <c r="I653" s="445"/>
      <c r="K653" s="178"/>
      <c r="L653" s="112"/>
      <c r="M653" s="112"/>
    </row>
    <row r="654" spans="1:13" x14ac:dyDescent="0.3">
      <c r="B654" s="444"/>
      <c r="C654" s="444"/>
      <c r="D654" s="444"/>
      <c r="E654" s="444"/>
      <c r="F654" s="444"/>
      <c r="G654" s="444"/>
      <c r="H654" s="445"/>
      <c r="I654" s="445"/>
      <c r="K654" s="178"/>
      <c r="L654" s="178"/>
      <c r="M654" s="112"/>
    </row>
    <row r="655" spans="1:13" x14ac:dyDescent="0.3">
      <c r="B655" s="444"/>
      <c r="C655" s="444"/>
      <c r="D655" s="444"/>
      <c r="E655" s="444"/>
      <c r="F655" s="444"/>
      <c r="G655" s="444"/>
      <c r="H655" s="445"/>
      <c r="I655" s="445"/>
      <c r="K655" s="112"/>
      <c r="L655" s="178"/>
      <c r="M655" s="112"/>
    </row>
    <row r="656" spans="1:13" x14ac:dyDescent="0.3">
      <c r="B656" s="444"/>
      <c r="C656" s="444"/>
      <c r="D656" s="444"/>
      <c r="E656" s="444"/>
      <c r="F656" s="444"/>
      <c r="G656" s="444"/>
      <c r="H656" s="444"/>
      <c r="I656" s="444"/>
      <c r="K656" s="112"/>
      <c r="L656" s="112"/>
      <c r="M656" s="178"/>
    </row>
    <row r="657" spans="1:13" x14ac:dyDescent="0.3">
      <c r="B657" s="444"/>
      <c r="C657" s="444"/>
      <c r="D657" s="444"/>
      <c r="E657" s="444"/>
      <c r="F657" s="444"/>
      <c r="G657" s="444"/>
      <c r="H657" s="444"/>
      <c r="I657" s="444"/>
      <c r="K657" s="112"/>
      <c r="L657" s="112"/>
      <c r="M657" s="76"/>
    </row>
    <row r="658" spans="1:13" x14ac:dyDescent="0.3">
      <c r="B658" s="444"/>
      <c r="C658" s="444"/>
      <c r="D658" s="444"/>
      <c r="E658" s="444"/>
      <c r="F658" s="444"/>
      <c r="G658" s="444"/>
      <c r="H658" s="444"/>
      <c r="I658" s="444"/>
      <c r="K658" s="112"/>
      <c r="L658" s="112"/>
      <c r="M658" s="159"/>
    </row>
    <row r="659" spans="1:13" x14ac:dyDescent="0.3">
      <c r="B659" s="444"/>
      <c r="C659" s="444"/>
      <c r="D659" s="444"/>
      <c r="E659" s="444"/>
      <c r="F659" s="444"/>
      <c r="G659" s="444"/>
      <c r="H659" s="444"/>
      <c r="I659" s="444"/>
      <c r="K659" s="112"/>
      <c r="L659" s="112"/>
    </row>
    <row r="660" spans="1:13" x14ac:dyDescent="0.3">
      <c r="B660" s="444"/>
      <c r="C660" s="444"/>
      <c r="D660" s="444"/>
      <c r="E660" s="444"/>
      <c r="F660" s="444"/>
      <c r="G660" s="444"/>
      <c r="H660" s="444"/>
      <c r="I660" s="444"/>
      <c r="K660" s="112"/>
      <c r="L660" s="112"/>
      <c r="M660" s="6"/>
    </row>
    <row r="661" spans="1:13" x14ac:dyDescent="0.3">
      <c r="A661" s="159"/>
      <c r="B661" s="444"/>
      <c r="C661" s="444"/>
      <c r="D661" s="444"/>
      <c r="E661" s="444"/>
      <c r="F661" s="444"/>
      <c r="G661" s="444"/>
      <c r="H661" s="444"/>
      <c r="I661" s="444"/>
      <c r="K661" s="112"/>
      <c r="L661" s="112"/>
      <c r="M661" s="6"/>
    </row>
    <row r="662" spans="1:13" x14ac:dyDescent="0.3">
      <c r="B662" s="444"/>
      <c r="C662" s="444"/>
      <c r="D662" s="444"/>
      <c r="E662" s="444"/>
      <c r="F662" s="444"/>
      <c r="G662" s="444"/>
      <c r="H662" s="444"/>
      <c r="I662" s="444"/>
      <c r="K662" s="178"/>
      <c r="L662" s="178"/>
      <c r="M662" s="6"/>
    </row>
    <row r="663" spans="1:13" x14ac:dyDescent="0.3">
      <c r="A663" s="179"/>
      <c r="B663" s="444"/>
      <c r="C663" s="444"/>
      <c r="D663" s="444"/>
      <c r="E663" s="444"/>
      <c r="F663" s="444"/>
      <c r="G663" s="444"/>
      <c r="J663" s="445"/>
      <c r="K663" s="445"/>
      <c r="L663" s="445"/>
      <c r="M663" s="76"/>
    </row>
    <row r="664" spans="1:13" x14ac:dyDescent="0.3"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6"/>
    </row>
    <row r="665" spans="1:13" ht="23.4" x14ac:dyDescent="0.45">
      <c r="A665" s="52"/>
      <c r="B665" s="446"/>
      <c r="C665" s="446"/>
      <c r="D665" s="446"/>
      <c r="E665" s="446"/>
      <c r="F665" s="446"/>
      <c r="G665" s="446"/>
      <c r="H665" s="446"/>
      <c r="I665" s="446"/>
      <c r="J665" s="52"/>
      <c r="M665" s="28"/>
    </row>
    <row r="666" spans="1:13" x14ac:dyDescent="0.3">
      <c r="B666" s="444"/>
      <c r="C666" s="444"/>
      <c r="D666" s="444"/>
      <c r="E666" s="444"/>
      <c r="F666" s="444"/>
      <c r="G666" s="444"/>
      <c r="H666" s="444"/>
      <c r="I666" s="444"/>
      <c r="J666" s="444"/>
      <c r="K666" s="444"/>
      <c r="L666" s="444"/>
      <c r="M666" s="13"/>
    </row>
    <row r="667" spans="1:13" x14ac:dyDescent="0.3">
      <c r="B667" s="454"/>
      <c r="C667" s="454"/>
      <c r="D667" s="454"/>
      <c r="E667" s="454"/>
      <c r="K667" s="444"/>
      <c r="L667" s="444"/>
      <c r="M667" s="13"/>
    </row>
    <row r="668" spans="1:13" x14ac:dyDescent="0.3">
      <c r="A668" s="52"/>
      <c r="B668" s="454"/>
      <c r="C668" s="454"/>
      <c r="D668" s="454"/>
      <c r="E668" s="454"/>
      <c r="F668" s="52"/>
      <c r="G668" s="52"/>
      <c r="H668" s="52"/>
      <c r="I668" s="52"/>
      <c r="J668" s="52"/>
      <c r="K668" s="444"/>
      <c r="L668" s="444"/>
      <c r="M668" s="34"/>
    </row>
    <row r="669" spans="1:13" x14ac:dyDescent="0.3">
      <c r="A669" s="13"/>
      <c r="B669" s="455"/>
      <c r="C669" s="455"/>
      <c r="D669" s="455"/>
      <c r="E669" s="455"/>
      <c r="F669" s="445"/>
      <c r="G669" s="445"/>
      <c r="H669" s="445"/>
      <c r="I669" s="445"/>
      <c r="J669" s="445"/>
      <c r="K669" s="445"/>
      <c r="L669" s="445"/>
      <c r="M669" s="34"/>
    </row>
    <row r="670" spans="1:13" x14ac:dyDescent="0.3">
      <c r="A670" s="13"/>
      <c r="K670" s="6"/>
      <c r="L670" s="6"/>
      <c r="M670" s="74"/>
    </row>
    <row r="671" spans="1:13" ht="23.4" x14ac:dyDescent="0.45">
      <c r="A671" s="6"/>
      <c r="B671" s="52"/>
      <c r="C671" s="52"/>
      <c r="D671" s="52"/>
      <c r="E671" s="52"/>
      <c r="F671" s="456"/>
      <c r="G671" s="456"/>
      <c r="H671" s="456"/>
      <c r="I671" s="456"/>
      <c r="J671" s="456"/>
      <c r="K671" s="181"/>
      <c r="L671" s="28"/>
      <c r="M671" s="34"/>
    </row>
    <row r="672" spans="1:13" x14ac:dyDescent="0.3">
      <c r="B672" s="13"/>
      <c r="C672" s="13"/>
      <c r="D672" s="13"/>
      <c r="E672" s="13"/>
      <c r="F672" s="13"/>
      <c r="G672" s="13"/>
      <c r="H672" s="13"/>
      <c r="I672" s="13"/>
      <c r="J672" s="13"/>
      <c r="K672" s="448"/>
      <c r="L672" s="448"/>
      <c r="M672" s="74"/>
    </row>
    <row r="673" spans="1:13" x14ac:dyDescent="0.3">
      <c r="A673" s="182"/>
      <c r="B673" s="13"/>
      <c r="C673" s="13"/>
      <c r="D673" s="13"/>
      <c r="E673" s="13"/>
      <c r="F673" s="13"/>
      <c r="G673" s="13"/>
      <c r="H673" s="13"/>
      <c r="I673" s="13"/>
      <c r="J673" s="13"/>
      <c r="K673" s="448"/>
      <c r="L673" s="448"/>
      <c r="M673" s="34"/>
    </row>
    <row r="674" spans="1:13" x14ac:dyDescent="0.3">
      <c r="B674" s="6"/>
      <c r="C674" s="6"/>
      <c r="D674" s="6"/>
      <c r="E674" s="6"/>
      <c r="F674" s="6"/>
      <c r="G674" s="6"/>
      <c r="H674" s="6"/>
      <c r="I674" s="6"/>
      <c r="J674" s="6"/>
      <c r="K674" s="452"/>
      <c r="L674" s="452"/>
      <c r="M674" s="34"/>
    </row>
    <row r="675" spans="1:13" x14ac:dyDescent="0.3">
      <c r="A675" s="182"/>
      <c r="K675" s="452"/>
      <c r="L675" s="452"/>
      <c r="M675" s="34"/>
    </row>
    <row r="676" spans="1:13" x14ac:dyDescent="0.3">
      <c r="A676" s="182"/>
      <c r="B676" s="182"/>
      <c r="C676" s="183"/>
      <c r="D676" s="184"/>
      <c r="E676" s="184"/>
      <c r="K676" s="453"/>
      <c r="L676" s="453"/>
      <c r="M676" s="34"/>
    </row>
    <row r="677" spans="1:13" x14ac:dyDescent="0.3">
      <c r="A677" s="182"/>
      <c r="B677" s="185"/>
      <c r="C677" s="184"/>
      <c r="D677" s="186"/>
      <c r="E677" s="184"/>
      <c r="F677" s="184"/>
      <c r="G677" s="184"/>
      <c r="H677" s="184"/>
      <c r="I677" s="187"/>
      <c r="K677" s="452"/>
      <c r="L677" s="452"/>
      <c r="M677" s="34"/>
    </row>
    <row r="678" spans="1:13" x14ac:dyDescent="0.3">
      <c r="A678" s="160"/>
      <c r="B678" s="182"/>
      <c r="C678" s="183"/>
      <c r="D678" s="188"/>
      <c r="E678" s="188"/>
      <c r="I678" s="189"/>
      <c r="K678" s="453"/>
      <c r="L678" s="453"/>
      <c r="M678" s="34"/>
    </row>
    <row r="679" spans="1:13" x14ac:dyDescent="0.3">
      <c r="A679" s="161"/>
      <c r="B679" s="185"/>
      <c r="C679" s="184"/>
      <c r="D679" s="184"/>
      <c r="E679" s="184"/>
      <c r="F679" s="184"/>
      <c r="G679" s="184"/>
      <c r="H679" s="184"/>
      <c r="I679" s="189"/>
      <c r="K679" s="452"/>
      <c r="L679" s="452"/>
      <c r="M679" s="34"/>
    </row>
    <row r="680" spans="1:13" ht="14.4" x14ac:dyDescent="0.3">
      <c r="A680" s="162"/>
      <c r="B680" s="190"/>
      <c r="C680" s="187"/>
      <c r="D680" s="191"/>
      <c r="E680" s="192"/>
      <c r="F680" s="128"/>
      <c r="G680" s="128"/>
      <c r="H680" s="128"/>
      <c r="I680" s="189"/>
      <c r="K680" s="452"/>
      <c r="L680" s="452"/>
      <c r="M680" s="34"/>
    </row>
    <row r="681" spans="1:13" ht="14.4" x14ac:dyDescent="0.3">
      <c r="A681" s="163"/>
      <c r="B681" s="164"/>
      <c r="C681" s="165"/>
      <c r="D681" s="166"/>
      <c r="E681" s="166"/>
      <c r="F681" s="128"/>
      <c r="G681" s="128"/>
      <c r="H681" s="128"/>
      <c r="I681" s="167"/>
      <c r="K681" s="452"/>
      <c r="L681" s="452"/>
      <c r="M681" s="34"/>
    </row>
    <row r="682" spans="1:13" ht="14.4" x14ac:dyDescent="0.3">
      <c r="A682" s="168"/>
      <c r="B682" s="169"/>
      <c r="C682" s="165"/>
      <c r="D682" s="170"/>
      <c r="E682" s="128"/>
      <c r="F682" s="128"/>
      <c r="G682" s="128"/>
      <c r="H682" s="128"/>
      <c r="I682" s="167"/>
      <c r="J682" s="6"/>
      <c r="K682" s="452"/>
      <c r="L682" s="452"/>
      <c r="M682" s="74"/>
    </row>
    <row r="683" spans="1:13" ht="14.4" x14ac:dyDescent="0.3">
      <c r="A683" s="160"/>
      <c r="B683" s="169"/>
      <c r="C683" s="165"/>
      <c r="D683" s="170"/>
      <c r="E683" s="128"/>
      <c r="F683" s="128"/>
      <c r="G683" s="128"/>
      <c r="H683" s="128"/>
      <c r="I683" s="167"/>
      <c r="J683" s="6"/>
      <c r="K683" s="452"/>
      <c r="L683" s="452"/>
      <c r="M683" s="6"/>
    </row>
    <row r="684" spans="1:13" ht="14.4" x14ac:dyDescent="0.3">
      <c r="B684" s="169"/>
      <c r="C684" s="128"/>
      <c r="D684" s="170"/>
      <c r="E684" s="128"/>
      <c r="F684" s="128"/>
      <c r="G684" s="128"/>
      <c r="H684" s="128"/>
      <c r="I684" s="167"/>
      <c r="K684" s="452"/>
      <c r="L684" s="452"/>
      <c r="M684" s="6"/>
    </row>
    <row r="685" spans="1:13" ht="14.4" x14ac:dyDescent="0.3">
      <c r="A685" s="6"/>
      <c r="B685" s="169"/>
      <c r="C685" s="128"/>
      <c r="D685" s="128"/>
      <c r="E685" s="128"/>
      <c r="F685" s="128"/>
      <c r="G685" s="128"/>
      <c r="H685" s="128"/>
      <c r="I685" s="167"/>
      <c r="K685" s="452"/>
      <c r="L685" s="452"/>
      <c r="M685" s="6"/>
    </row>
    <row r="686" spans="1:13" x14ac:dyDescent="0.3">
      <c r="A686" s="6"/>
      <c r="B686" s="40"/>
      <c r="C686" s="160"/>
      <c r="D686" s="40"/>
      <c r="K686" s="452"/>
      <c r="L686" s="452"/>
      <c r="M686" s="6"/>
    </row>
    <row r="687" spans="1:13" x14ac:dyDescent="0.3">
      <c r="B687" s="171"/>
      <c r="C687" s="160"/>
      <c r="D687" s="40"/>
      <c r="E687" s="172"/>
      <c r="K687" s="452"/>
      <c r="L687" s="452"/>
      <c r="M687" s="124"/>
    </row>
    <row r="688" spans="1:13" x14ac:dyDescent="0.3">
      <c r="B688" s="6"/>
      <c r="C688" s="6"/>
      <c r="D688" s="6"/>
      <c r="E688" s="6"/>
      <c r="F688" s="6"/>
      <c r="G688" s="445"/>
      <c r="H688" s="445"/>
      <c r="I688" s="445"/>
      <c r="J688" s="445"/>
      <c r="K688" s="453"/>
      <c r="L688" s="453"/>
      <c r="M688" s="173"/>
    </row>
    <row r="689" spans="1:13" x14ac:dyDescent="0.3">
      <c r="B689" s="6"/>
      <c r="C689" s="6"/>
      <c r="D689" s="6"/>
      <c r="E689" s="6"/>
      <c r="F689" s="6"/>
      <c r="G689" s="444"/>
      <c r="H689" s="444"/>
      <c r="I689" s="444"/>
      <c r="J689" s="444"/>
      <c r="K689" s="444"/>
      <c r="L689" s="444"/>
      <c r="M689" s="173"/>
    </row>
    <row r="690" spans="1:13" x14ac:dyDescent="0.3">
      <c r="A690" s="124"/>
      <c r="B690" s="449"/>
      <c r="C690" s="449"/>
      <c r="D690" s="449"/>
      <c r="E690" s="449"/>
      <c r="F690" s="449"/>
      <c r="G690" s="444"/>
      <c r="H690" s="444"/>
      <c r="I690" s="444"/>
      <c r="J690" s="444"/>
      <c r="K690" s="444"/>
      <c r="L690" s="444"/>
      <c r="M690" s="174"/>
    </row>
    <row r="691" spans="1:13" x14ac:dyDescent="0.3">
      <c r="A691" s="124"/>
      <c r="B691" s="449"/>
      <c r="C691" s="449"/>
      <c r="D691" s="449"/>
      <c r="E691" s="449"/>
      <c r="F691" s="449"/>
      <c r="G691" s="444"/>
      <c r="H691" s="444"/>
      <c r="I691" s="444"/>
      <c r="J691" s="444"/>
      <c r="K691" s="444"/>
      <c r="L691" s="444"/>
      <c r="M691" s="136"/>
    </row>
    <row r="692" spans="1:13" x14ac:dyDescent="0.3">
      <c r="A692" s="124"/>
      <c r="B692" s="449"/>
      <c r="C692" s="449"/>
      <c r="D692" s="449"/>
      <c r="E692" s="449"/>
      <c r="F692" s="449"/>
      <c r="G692" s="444"/>
      <c r="H692" s="444"/>
      <c r="I692" s="444"/>
      <c r="J692" s="444"/>
      <c r="K692" s="444"/>
      <c r="L692" s="444"/>
      <c r="M692" s="6"/>
    </row>
    <row r="693" spans="1:13" x14ac:dyDescent="0.3">
      <c r="A693" s="124"/>
      <c r="B693" s="124"/>
      <c r="C693" s="124"/>
      <c r="D693" s="124"/>
      <c r="E693" s="124"/>
      <c r="F693" s="124"/>
      <c r="G693" s="449"/>
      <c r="H693" s="449"/>
      <c r="I693" s="449"/>
      <c r="J693" s="449"/>
      <c r="K693" s="449"/>
      <c r="L693" s="449"/>
    </row>
    <row r="694" spans="1:13" x14ac:dyDescent="0.3">
      <c r="A694" s="6"/>
      <c r="B694" s="124"/>
      <c r="C694" s="124"/>
      <c r="D694" s="124"/>
      <c r="E694" s="124"/>
      <c r="F694" s="124"/>
      <c r="G694" s="175"/>
      <c r="H694" s="175"/>
      <c r="I694" s="175"/>
      <c r="J694" s="173"/>
      <c r="K694" s="173"/>
      <c r="L694" s="173"/>
    </row>
    <row r="695" spans="1:13" x14ac:dyDescent="0.3">
      <c r="A695" s="6"/>
      <c r="B695" s="124"/>
      <c r="C695" s="124"/>
      <c r="D695" s="124"/>
      <c r="E695" s="124"/>
      <c r="F695" s="124"/>
      <c r="G695" s="175"/>
      <c r="H695" s="175"/>
      <c r="I695" s="175"/>
      <c r="J695" s="173"/>
      <c r="K695" s="173"/>
      <c r="L695" s="173"/>
      <c r="M695" s="6"/>
    </row>
    <row r="696" spans="1:13" x14ac:dyDescent="0.3">
      <c r="A696" s="124"/>
      <c r="B696" s="124"/>
      <c r="C696" s="124"/>
      <c r="D696" s="124"/>
      <c r="E696" s="124"/>
      <c r="F696" s="124"/>
      <c r="G696" s="450"/>
      <c r="H696" s="450"/>
      <c r="I696" s="450"/>
      <c r="J696" s="450"/>
      <c r="K696" s="450"/>
      <c r="L696" s="450"/>
      <c r="M696" s="6"/>
    </row>
    <row r="697" spans="1:13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451"/>
      <c r="K697" s="451"/>
      <c r="L697" s="451"/>
      <c r="M697" s="6"/>
    </row>
    <row r="698" spans="1:13" x14ac:dyDescent="0.3">
      <c r="A698" s="124"/>
      <c r="B698" s="6"/>
      <c r="C698" s="6"/>
      <c r="D698" s="6"/>
      <c r="E698" s="112"/>
      <c r="F698" s="112"/>
      <c r="J698" s="444"/>
      <c r="K698" s="444"/>
      <c r="L698" s="444"/>
      <c r="M698" s="6"/>
    </row>
    <row r="699" spans="1:13" x14ac:dyDescent="0.3">
      <c r="A699" s="6"/>
      <c r="B699" s="124"/>
      <c r="C699" s="124"/>
      <c r="D699" s="124"/>
      <c r="E699" s="112"/>
      <c r="F699" s="112"/>
      <c r="M699" s="6"/>
    </row>
    <row r="700" spans="1:13" x14ac:dyDescent="0.3">
      <c r="A700" s="76"/>
      <c r="B700" s="6"/>
      <c r="C700" s="6"/>
      <c r="D700" s="6"/>
      <c r="E700" s="112"/>
      <c r="F700" s="112"/>
    </row>
    <row r="701" spans="1:13" x14ac:dyDescent="0.3">
      <c r="A701" s="176"/>
      <c r="B701" s="124"/>
      <c r="C701" s="124"/>
      <c r="D701" s="124"/>
      <c r="E701" s="112"/>
      <c r="F701" s="112"/>
      <c r="J701" s="444"/>
      <c r="K701" s="444"/>
      <c r="L701" s="444"/>
    </row>
    <row r="702" spans="1:13" x14ac:dyDescent="0.3">
      <c r="A702" s="176"/>
      <c r="B702" s="6"/>
      <c r="C702" s="6"/>
      <c r="D702" s="6"/>
      <c r="E702" s="112"/>
      <c r="F702" s="112"/>
      <c r="J702" s="444"/>
      <c r="K702" s="444"/>
      <c r="L702" s="444"/>
      <c r="M702" s="159"/>
    </row>
    <row r="703" spans="1:13" x14ac:dyDescent="0.3">
      <c r="B703" s="76"/>
      <c r="C703" s="76"/>
      <c r="D703" s="76"/>
      <c r="E703" s="76"/>
      <c r="F703" s="76"/>
      <c r="G703" s="76"/>
      <c r="H703" s="76"/>
      <c r="I703" s="76"/>
      <c r="K703" s="444"/>
      <c r="L703" s="444"/>
      <c r="M703" s="13"/>
    </row>
    <row r="704" spans="1:13" x14ac:dyDescent="0.3">
      <c r="A704" s="6"/>
      <c r="B704" s="176"/>
      <c r="C704" s="176"/>
      <c r="D704" s="176"/>
      <c r="E704" s="176"/>
      <c r="F704" s="176"/>
      <c r="G704" s="176"/>
      <c r="H704" s="176"/>
      <c r="I704" s="176"/>
      <c r="K704" s="447"/>
      <c r="L704" s="444"/>
      <c r="M704" s="13"/>
    </row>
    <row r="705" spans="1:13" x14ac:dyDescent="0.3">
      <c r="A705" s="159"/>
      <c r="B705" s="176"/>
      <c r="C705" s="176"/>
      <c r="D705" s="176"/>
      <c r="E705" s="176"/>
      <c r="F705" s="176"/>
      <c r="G705" s="176"/>
      <c r="H705" s="176"/>
      <c r="I705" s="176"/>
      <c r="J705" s="444"/>
      <c r="K705" s="444"/>
      <c r="L705" s="444"/>
      <c r="M705" s="112"/>
    </row>
    <row r="706" spans="1:13" x14ac:dyDescent="0.3">
      <c r="A706" s="136"/>
      <c r="M706" s="178"/>
    </row>
    <row r="707" spans="1:13" x14ac:dyDescent="0.3">
      <c r="A707" s="136"/>
      <c r="B707" s="6"/>
      <c r="C707" s="6"/>
      <c r="D707" s="6"/>
      <c r="E707" s="6"/>
      <c r="F707" s="6"/>
      <c r="G707" s="6"/>
      <c r="H707" s="6"/>
      <c r="I707" s="6"/>
      <c r="J707" s="6"/>
      <c r="K707" s="6"/>
      <c r="M707" s="178"/>
    </row>
    <row r="708" spans="1:13" x14ac:dyDescent="0.3">
      <c r="A708" s="52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12"/>
    </row>
    <row r="709" spans="1:13" x14ac:dyDescent="0.3">
      <c r="A709" s="52"/>
      <c r="B709" s="448"/>
      <c r="C709" s="448"/>
      <c r="D709" s="448"/>
      <c r="E709" s="448"/>
      <c r="F709" s="448"/>
      <c r="G709" s="448"/>
      <c r="H709" s="445"/>
      <c r="I709" s="445"/>
      <c r="J709" s="448"/>
      <c r="K709" s="448"/>
      <c r="L709" s="448"/>
      <c r="M709" s="112"/>
    </row>
    <row r="710" spans="1:13" x14ac:dyDescent="0.3">
      <c r="A710" s="52"/>
      <c r="B710" s="448"/>
      <c r="C710" s="448"/>
      <c r="D710" s="448"/>
      <c r="E710" s="448"/>
      <c r="F710" s="448"/>
      <c r="G710" s="448"/>
      <c r="H710" s="445"/>
      <c r="I710" s="445"/>
      <c r="J710" s="448"/>
      <c r="K710" s="448"/>
      <c r="L710" s="448"/>
      <c r="M710" s="112"/>
    </row>
    <row r="711" spans="1:13" x14ac:dyDescent="0.3">
      <c r="B711" s="444"/>
      <c r="C711" s="444"/>
      <c r="D711" s="444"/>
      <c r="E711" s="444"/>
      <c r="F711" s="444"/>
      <c r="G711" s="444"/>
      <c r="H711" s="445"/>
      <c r="I711" s="445"/>
      <c r="K711" s="178"/>
      <c r="L711" s="112"/>
      <c r="M711" s="112"/>
    </row>
    <row r="712" spans="1:13" x14ac:dyDescent="0.3">
      <c r="B712" s="444"/>
      <c r="C712" s="444"/>
      <c r="D712" s="444"/>
      <c r="E712" s="444"/>
      <c r="F712" s="444"/>
      <c r="G712" s="444"/>
      <c r="H712" s="445"/>
      <c r="I712" s="445"/>
      <c r="K712" s="178"/>
      <c r="L712" s="178"/>
      <c r="M712" s="112"/>
    </row>
    <row r="713" spans="1:13" x14ac:dyDescent="0.3">
      <c r="B713" s="444"/>
      <c r="C713" s="444"/>
      <c r="D713" s="444"/>
      <c r="E713" s="444"/>
      <c r="F713" s="444"/>
      <c r="G713" s="444"/>
      <c r="H713" s="445"/>
      <c r="I713" s="445"/>
      <c r="K713" s="112"/>
      <c r="L713" s="178"/>
      <c r="M713" s="112"/>
    </row>
    <row r="714" spans="1:13" x14ac:dyDescent="0.3">
      <c r="B714" s="444"/>
      <c r="C714" s="444"/>
      <c r="D714" s="444"/>
      <c r="E714" s="444"/>
      <c r="F714" s="444"/>
      <c r="G714" s="444"/>
      <c r="H714" s="444"/>
      <c r="I714" s="444"/>
      <c r="K714" s="112"/>
      <c r="L714" s="112"/>
      <c r="M714" s="178"/>
    </row>
    <row r="715" spans="1:13" x14ac:dyDescent="0.3">
      <c r="B715" s="444"/>
      <c r="C715" s="444"/>
      <c r="D715" s="444"/>
      <c r="E715" s="444"/>
      <c r="F715" s="444"/>
      <c r="G715" s="444"/>
      <c r="H715" s="444"/>
      <c r="I715" s="444"/>
      <c r="K715" s="112"/>
      <c r="L715" s="112"/>
      <c r="M715" s="76"/>
    </row>
    <row r="716" spans="1:13" x14ac:dyDescent="0.3">
      <c r="B716" s="444"/>
      <c r="C716" s="444"/>
      <c r="D716" s="444"/>
      <c r="E716" s="444"/>
      <c r="F716" s="444"/>
      <c r="G716" s="444"/>
      <c r="H716" s="444"/>
      <c r="I716" s="444"/>
      <c r="K716" s="112"/>
      <c r="L716" s="112"/>
      <c r="M716" s="159"/>
    </row>
    <row r="717" spans="1:13" x14ac:dyDescent="0.3">
      <c r="B717" s="444"/>
      <c r="C717" s="444"/>
      <c r="D717" s="444"/>
      <c r="E717" s="444"/>
      <c r="F717" s="444"/>
      <c r="G717" s="444"/>
      <c r="H717" s="444"/>
      <c r="I717" s="444"/>
      <c r="K717" s="112"/>
      <c r="L717" s="112"/>
    </row>
    <row r="718" spans="1:13" x14ac:dyDescent="0.3">
      <c r="B718" s="444"/>
      <c r="C718" s="444"/>
      <c r="D718" s="444"/>
      <c r="E718" s="444"/>
      <c r="F718" s="444"/>
      <c r="G718" s="444"/>
      <c r="H718" s="444"/>
      <c r="I718" s="444"/>
      <c r="K718" s="112"/>
      <c r="L718" s="112"/>
      <c r="M718" s="6"/>
    </row>
    <row r="719" spans="1:13" x14ac:dyDescent="0.3">
      <c r="A719" s="159"/>
      <c r="B719" s="444"/>
      <c r="C719" s="444"/>
      <c r="D719" s="444"/>
      <c r="E719" s="444"/>
      <c r="F719" s="444"/>
      <c r="G719" s="444"/>
      <c r="H719" s="444"/>
      <c r="I719" s="444"/>
      <c r="K719" s="112"/>
      <c r="L719" s="112"/>
      <c r="M719" s="6"/>
    </row>
    <row r="720" spans="1:13" x14ac:dyDescent="0.3">
      <c r="B720" s="444"/>
      <c r="C720" s="444"/>
      <c r="D720" s="444"/>
      <c r="E720" s="444"/>
      <c r="F720" s="444"/>
      <c r="G720" s="444"/>
      <c r="H720" s="444"/>
      <c r="I720" s="444"/>
      <c r="K720" s="178"/>
      <c r="L720" s="178"/>
      <c r="M720" s="6"/>
    </row>
    <row r="721" spans="1:13" x14ac:dyDescent="0.3">
      <c r="A721" s="179"/>
      <c r="B721" s="444"/>
      <c r="C721" s="444"/>
      <c r="D721" s="444"/>
      <c r="E721" s="444"/>
      <c r="F721" s="444"/>
      <c r="G721" s="444"/>
      <c r="J721" s="445"/>
      <c r="K721" s="445"/>
      <c r="L721" s="445"/>
      <c r="M721" s="76"/>
    </row>
    <row r="722" spans="1:13" x14ac:dyDescent="0.3"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6"/>
    </row>
    <row r="723" spans="1:13" ht="23.4" x14ac:dyDescent="0.45">
      <c r="A723" s="52"/>
      <c r="B723" s="446"/>
      <c r="C723" s="446"/>
      <c r="D723" s="446"/>
      <c r="E723" s="446"/>
      <c r="F723" s="446"/>
      <c r="G723" s="446"/>
      <c r="H723" s="446"/>
      <c r="I723" s="446"/>
      <c r="J723" s="52"/>
      <c r="M723" s="28"/>
    </row>
    <row r="724" spans="1:13" x14ac:dyDescent="0.3">
      <c r="B724" s="444"/>
      <c r="C724" s="444"/>
      <c r="D724" s="444"/>
      <c r="E724" s="444"/>
      <c r="F724" s="444"/>
      <c r="G724" s="444"/>
      <c r="H724" s="444"/>
      <c r="I724" s="444"/>
      <c r="J724" s="444"/>
      <c r="K724" s="444"/>
      <c r="L724" s="444"/>
      <c r="M724" s="13"/>
    </row>
    <row r="725" spans="1:13" x14ac:dyDescent="0.3">
      <c r="B725" s="454"/>
      <c r="C725" s="454"/>
      <c r="D725" s="454"/>
      <c r="E725" s="454"/>
      <c r="K725" s="444"/>
      <c r="L725" s="444"/>
      <c r="M725" s="13"/>
    </row>
    <row r="726" spans="1:13" x14ac:dyDescent="0.3">
      <c r="A726" s="52"/>
      <c r="B726" s="454"/>
      <c r="C726" s="454"/>
      <c r="D726" s="454"/>
      <c r="E726" s="454"/>
      <c r="F726" s="52"/>
      <c r="G726" s="52"/>
      <c r="H726" s="52"/>
      <c r="I726" s="52"/>
      <c r="J726" s="52"/>
      <c r="K726" s="444"/>
      <c r="L726" s="444"/>
      <c r="M726" s="34"/>
    </row>
    <row r="727" spans="1:13" x14ac:dyDescent="0.3">
      <c r="A727" s="13"/>
      <c r="B727" s="455"/>
      <c r="C727" s="455"/>
      <c r="D727" s="455"/>
      <c r="E727" s="455"/>
      <c r="F727" s="445"/>
      <c r="G727" s="445"/>
      <c r="H727" s="445"/>
      <c r="I727" s="445"/>
      <c r="J727" s="445"/>
      <c r="K727" s="445"/>
      <c r="L727" s="445"/>
      <c r="M727" s="34"/>
    </row>
    <row r="728" spans="1:13" x14ac:dyDescent="0.3">
      <c r="A728" s="13"/>
      <c r="K728" s="6"/>
      <c r="L728" s="6"/>
      <c r="M728" s="74"/>
    </row>
    <row r="729" spans="1:13" ht="23.4" x14ac:dyDescent="0.45">
      <c r="A729" s="6"/>
      <c r="B729" s="52"/>
      <c r="C729" s="52"/>
      <c r="D729" s="52"/>
      <c r="E729" s="52"/>
      <c r="F729" s="456"/>
      <c r="G729" s="456"/>
      <c r="H729" s="456"/>
      <c r="I729" s="456"/>
      <c r="J729" s="456"/>
      <c r="K729" s="181"/>
      <c r="L729" s="28"/>
      <c r="M729" s="34"/>
    </row>
    <row r="730" spans="1:13" x14ac:dyDescent="0.3">
      <c r="B730" s="13"/>
      <c r="C730" s="13"/>
      <c r="D730" s="13"/>
      <c r="E730" s="13"/>
      <c r="F730" s="13"/>
      <c r="G730" s="13"/>
      <c r="H730" s="13"/>
      <c r="I730" s="13"/>
      <c r="J730" s="13"/>
      <c r="K730" s="448"/>
      <c r="L730" s="448"/>
      <c r="M730" s="74"/>
    </row>
    <row r="731" spans="1:13" x14ac:dyDescent="0.3">
      <c r="A731" s="182"/>
      <c r="B731" s="13"/>
      <c r="C731" s="13"/>
      <c r="D731" s="13"/>
      <c r="E731" s="13"/>
      <c r="F731" s="13"/>
      <c r="G731" s="13"/>
      <c r="H731" s="13"/>
      <c r="I731" s="13"/>
      <c r="J731" s="13"/>
      <c r="K731" s="448"/>
      <c r="L731" s="448"/>
      <c r="M731" s="34"/>
    </row>
    <row r="732" spans="1:13" x14ac:dyDescent="0.3">
      <c r="B732" s="6"/>
      <c r="C732" s="6"/>
      <c r="D732" s="6"/>
      <c r="E732" s="6"/>
      <c r="F732" s="6"/>
      <c r="G732" s="6"/>
      <c r="H732" s="6"/>
      <c r="I732" s="6"/>
      <c r="J732" s="6"/>
      <c r="K732" s="452"/>
      <c r="L732" s="452"/>
      <c r="M732" s="34"/>
    </row>
    <row r="733" spans="1:13" x14ac:dyDescent="0.3">
      <c r="A733" s="182"/>
      <c r="K733" s="452"/>
      <c r="L733" s="452"/>
      <c r="M733" s="34"/>
    </row>
    <row r="734" spans="1:13" x14ac:dyDescent="0.3">
      <c r="A734" s="182"/>
      <c r="B734" s="182"/>
      <c r="C734" s="183"/>
      <c r="D734" s="184"/>
      <c r="E734" s="184"/>
      <c r="K734" s="453"/>
      <c r="L734" s="453"/>
      <c r="M734" s="34"/>
    </row>
    <row r="735" spans="1:13" x14ac:dyDescent="0.3">
      <c r="A735" s="182"/>
      <c r="B735" s="185"/>
      <c r="C735" s="184"/>
      <c r="D735" s="186"/>
      <c r="E735" s="184"/>
      <c r="F735" s="184"/>
      <c r="G735" s="184"/>
      <c r="H735" s="184"/>
      <c r="I735" s="187"/>
      <c r="K735" s="452"/>
      <c r="L735" s="452"/>
      <c r="M735" s="34"/>
    </row>
    <row r="736" spans="1:13" x14ac:dyDescent="0.3">
      <c r="A736" s="160"/>
      <c r="B736" s="182"/>
      <c r="C736" s="183"/>
      <c r="D736" s="188"/>
      <c r="E736" s="188"/>
      <c r="I736" s="189"/>
      <c r="K736" s="453"/>
      <c r="L736" s="453"/>
      <c r="M736" s="34"/>
    </row>
    <row r="737" spans="1:13" x14ac:dyDescent="0.3">
      <c r="A737" s="161"/>
      <c r="B737" s="185"/>
      <c r="C737" s="184"/>
      <c r="D737" s="184"/>
      <c r="E737" s="184"/>
      <c r="F737" s="184"/>
      <c r="G737" s="184"/>
      <c r="H737" s="184"/>
      <c r="I737" s="189"/>
      <c r="K737" s="452"/>
      <c r="L737" s="452"/>
      <c r="M737" s="34"/>
    </row>
    <row r="738" spans="1:13" ht="14.4" x14ac:dyDescent="0.3">
      <c r="A738" s="162"/>
      <c r="B738" s="190"/>
      <c r="C738" s="187"/>
      <c r="D738" s="191"/>
      <c r="E738" s="192"/>
      <c r="F738" s="128"/>
      <c r="G738" s="128"/>
      <c r="H738" s="128"/>
      <c r="I738" s="189"/>
      <c r="K738" s="452"/>
      <c r="L738" s="452"/>
      <c r="M738" s="34"/>
    </row>
    <row r="739" spans="1:13" ht="14.4" x14ac:dyDescent="0.3">
      <c r="A739" s="163"/>
      <c r="B739" s="164"/>
      <c r="C739" s="165"/>
      <c r="D739" s="166"/>
      <c r="E739" s="166"/>
      <c r="F739" s="128"/>
      <c r="G739" s="128"/>
      <c r="H739" s="128"/>
      <c r="I739" s="167"/>
      <c r="K739" s="452"/>
      <c r="L739" s="452"/>
      <c r="M739" s="34"/>
    </row>
    <row r="740" spans="1:13" ht="14.4" x14ac:dyDescent="0.3">
      <c r="A740" s="168"/>
      <c r="B740" s="169"/>
      <c r="C740" s="165"/>
      <c r="D740" s="170"/>
      <c r="E740" s="128"/>
      <c r="F740" s="128"/>
      <c r="G740" s="128"/>
      <c r="H740" s="128"/>
      <c r="I740" s="167"/>
      <c r="J740" s="6"/>
      <c r="K740" s="452"/>
      <c r="L740" s="452"/>
      <c r="M740" s="74"/>
    </row>
    <row r="741" spans="1:13" ht="14.4" x14ac:dyDescent="0.3">
      <c r="A741" s="160"/>
      <c r="B741" s="169"/>
      <c r="C741" s="165"/>
      <c r="D741" s="170"/>
      <c r="E741" s="128"/>
      <c r="F741" s="128"/>
      <c r="G741" s="128"/>
      <c r="H741" s="128"/>
      <c r="I741" s="167"/>
      <c r="J741" s="6"/>
      <c r="K741" s="452"/>
      <c r="L741" s="452"/>
      <c r="M741" s="6"/>
    </row>
    <row r="742" spans="1:13" ht="14.4" x14ac:dyDescent="0.3">
      <c r="B742" s="169"/>
      <c r="C742" s="128"/>
      <c r="D742" s="170"/>
      <c r="E742" s="128"/>
      <c r="F742" s="128"/>
      <c r="G742" s="128"/>
      <c r="H742" s="128"/>
      <c r="I742" s="167"/>
      <c r="K742" s="452"/>
      <c r="L742" s="452"/>
      <c r="M742" s="6"/>
    </row>
    <row r="743" spans="1:13" ht="14.4" x14ac:dyDescent="0.3">
      <c r="A743" s="6"/>
      <c r="B743" s="169"/>
      <c r="C743" s="128"/>
      <c r="D743" s="128"/>
      <c r="E743" s="128"/>
      <c r="F743" s="128"/>
      <c r="G743" s="128"/>
      <c r="H743" s="128"/>
      <c r="I743" s="167"/>
      <c r="K743" s="452"/>
      <c r="L743" s="452"/>
      <c r="M743" s="6"/>
    </row>
    <row r="744" spans="1:13" x14ac:dyDescent="0.3">
      <c r="A744" s="6"/>
      <c r="B744" s="40"/>
      <c r="C744" s="160"/>
      <c r="D744" s="40"/>
      <c r="K744" s="452"/>
      <c r="L744" s="452"/>
      <c r="M744" s="6"/>
    </row>
    <row r="745" spans="1:13" x14ac:dyDescent="0.3">
      <c r="B745" s="171"/>
      <c r="C745" s="160"/>
      <c r="D745" s="40"/>
      <c r="E745" s="172"/>
      <c r="K745" s="452"/>
      <c r="L745" s="452"/>
      <c r="M745" s="124"/>
    </row>
    <row r="746" spans="1:13" x14ac:dyDescent="0.3">
      <c r="B746" s="6"/>
      <c r="C746" s="6"/>
      <c r="D746" s="6"/>
      <c r="E746" s="6"/>
      <c r="F746" s="6"/>
      <c r="G746" s="445"/>
      <c r="H746" s="445"/>
      <c r="I746" s="445"/>
      <c r="J746" s="445"/>
      <c r="K746" s="453"/>
      <c r="L746" s="453"/>
      <c r="M746" s="173"/>
    </row>
    <row r="747" spans="1:13" x14ac:dyDescent="0.3">
      <c r="B747" s="6"/>
      <c r="C747" s="6"/>
      <c r="D747" s="6"/>
      <c r="E747" s="6"/>
      <c r="F747" s="6"/>
      <c r="G747" s="444"/>
      <c r="H747" s="444"/>
      <c r="I747" s="444"/>
      <c r="J747" s="444"/>
      <c r="K747" s="444"/>
      <c r="L747" s="444"/>
      <c r="M747" s="173"/>
    </row>
    <row r="748" spans="1:13" x14ac:dyDescent="0.3">
      <c r="A748" s="124"/>
      <c r="B748" s="449"/>
      <c r="C748" s="449"/>
      <c r="D748" s="449"/>
      <c r="E748" s="449"/>
      <c r="F748" s="449"/>
      <c r="G748" s="444"/>
      <c r="H748" s="444"/>
      <c r="I748" s="444"/>
      <c r="J748" s="444"/>
      <c r="K748" s="444"/>
      <c r="L748" s="444"/>
      <c r="M748" s="174"/>
    </row>
    <row r="749" spans="1:13" x14ac:dyDescent="0.3">
      <c r="A749" s="124"/>
      <c r="B749" s="449"/>
      <c r="C749" s="449"/>
      <c r="D749" s="449"/>
      <c r="E749" s="449"/>
      <c r="F749" s="449"/>
      <c r="G749" s="444"/>
      <c r="H749" s="444"/>
      <c r="I749" s="444"/>
      <c r="J749" s="444"/>
      <c r="K749" s="444"/>
      <c r="L749" s="444"/>
      <c r="M749" s="136"/>
    </row>
    <row r="750" spans="1:13" x14ac:dyDescent="0.3">
      <c r="A750" s="124"/>
      <c r="B750" s="449"/>
      <c r="C750" s="449"/>
      <c r="D750" s="449"/>
      <c r="E750" s="449"/>
      <c r="F750" s="449"/>
      <c r="G750" s="444"/>
      <c r="H750" s="444"/>
      <c r="I750" s="444"/>
      <c r="J750" s="444"/>
      <c r="K750" s="444"/>
      <c r="L750" s="444"/>
      <c r="M750" s="6"/>
    </row>
    <row r="751" spans="1:13" x14ac:dyDescent="0.3">
      <c r="A751" s="124"/>
      <c r="B751" s="124"/>
      <c r="C751" s="124"/>
      <c r="D751" s="124"/>
      <c r="E751" s="124"/>
      <c r="F751" s="124"/>
      <c r="G751" s="449"/>
      <c r="H751" s="449"/>
      <c r="I751" s="449"/>
      <c r="J751" s="449"/>
      <c r="K751" s="449"/>
      <c r="L751" s="449"/>
    </row>
    <row r="752" spans="1:13" x14ac:dyDescent="0.3">
      <c r="A752" s="6"/>
      <c r="B752" s="124"/>
      <c r="C752" s="124"/>
      <c r="D752" s="124"/>
      <c r="E752" s="124"/>
      <c r="F752" s="124"/>
      <c r="G752" s="175"/>
      <c r="H752" s="175"/>
      <c r="I752" s="175"/>
      <c r="J752" s="173"/>
      <c r="K752" s="173"/>
      <c r="L752" s="173"/>
    </row>
    <row r="753" spans="1:13" x14ac:dyDescent="0.3">
      <c r="A753" s="6"/>
      <c r="B753" s="124"/>
      <c r="C753" s="124"/>
      <c r="D753" s="124"/>
      <c r="E753" s="124"/>
      <c r="F753" s="124"/>
      <c r="G753" s="175"/>
      <c r="H753" s="175"/>
      <c r="I753" s="175"/>
      <c r="J753" s="173"/>
      <c r="K753" s="173"/>
      <c r="L753" s="173"/>
      <c r="M753" s="6"/>
    </row>
    <row r="754" spans="1:13" x14ac:dyDescent="0.3">
      <c r="A754" s="124"/>
      <c r="B754" s="124"/>
      <c r="C754" s="124"/>
      <c r="D754" s="124"/>
      <c r="E754" s="124"/>
      <c r="F754" s="124"/>
      <c r="G754" s="450"/>
      <c r="H754" s="450"/>
      <c r="I754" s="450"/>
      <c r="J754" s="450"/>
      <c r="K754" s="450"/>
      <c r="L754" s="450"/>
      <c r="M754" s="6"/>
    </row>
    <row r="755" spans="1:13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451"/>
      <c r="K755" s="451"/>
      <c r="L755" s="451"/>
      <c r="M755" s="6"/>
    </row>
    <row r="756" spans="1:13" x14ac:dyDescent="0.3">
      <c r="A756" s="124"/>
      <c r="B756" s="6"/>
      <c r="C756" s="6"/>
      <c r="D756" s="6"/>
      <c r="E756" s="112"/>
      <c r="F756" s="112"/>
      <c r="J756" s="444"/>
      <c r="K756" s="444"/>
      <c r="L756" s="444"/>
      <c r="M756" s="6"/>
    </row>
    <row r="757" spans="1:13" x14ac:dyDescent="0.3">
      <c r="A757" s="6"/>
      <c r="B757" s="124"/>
      <c r="C757" s="124"/>
      <c r="D757" s="124"/>
      <c r="E757" s="112"/>
      <c r="F757" s="112"/>
      <c r="M757" s="6"/>
    </row>
    <row r="758" spans="1:13" x14ac:dyDescent="0.3">
      <c r="A758" s="76"/>
      <c r="B758" s="6"/>
      <c r="C758" s="6"/>
      <c r="D758" s="6"/>
      <c r="E758" s="112"/>
      <c r="F758" s="112"/>
    </row>
    <row r="759" spans="1:13" x14ac:dyDescent="0.3">
      <c r="A759" s="176"/>
      <c r="B759" s="124"/>
      <c r="C759" s="124"/>
      <c r="D759" s="124"/>
      <c r="E759" s="112"/>
      <c r="F759" s="112"/>
      <c r="J759" s="444"/>
      <c r="K759" s="444"/>
      <c r="L759" s="444"/>
    </row>
    <row r="760" spans="1:13" x14ac:dyDescent="0.3">
      <c r="A760" s="176"/>
      <c r="B760" s="6"/>
      <c r="C760" s="6"/>
      <c r="D760" s="6"/>
      <c r="E760" s="112"/>
      <c r="F760" s="112"/>
      <c r="J760" s="444"/>
      <c r="K760" s="444"/>
      <c r="L760" s="444"/>
      <c r="M760" s="159"/>
    </row>
    <row r="761" spans="1:13" x14ac:dyDescent="0.3">
      <c r="B761" s="76"/>
      <c r="C761" s="76"/>
      <c r="D761" s="76"/>
      <c r="E761" s="76"/>
      <c r="F761" s="76"/>
      <c r="G761" s="76"/>
      <c r="H761" s="76"/>
      <c r="I761" s="76"/>
      <c r="K761" s="444"/>
      <c r="L761" s="444"/>
      <c r="M761" s="13"/>
    </row>
    <row r="762" spans="1:13" x14ac:dyDescent="0.3">
      <c r="A762" s="6"/>
      <c r="B762" s="176"/>
      <c r="C762" s="176"/>
      <c r="D762" s="176"/>
      <c r="E762" s="176"/>
      <c r="F762" s="176"/>
      <c r="G762" s="176"/>
      <c r="H762" s="176"/>
      <c r="I762" s="176"/>
      <c r="K762" s="447"/>
      <c r="L762" s="444"/>
      <c r="M762" s="13"/>
    </row>
    <row r="763" spans="1:13" x14ac:dyDescent="0.3">
      <c r="A763" s="159"/>
      <c r="B763" s="176"/>
      <c r="C763" s="176"/>
      <c r="D763" s="176"/>
      <c r="E763" s="176"/>
      <c r="F763" s="176"/>
      <c r="G763" s="176"/>
      <c r="H763" s="176"/>
      <c r="I763" s="176"/>
      <c r="J763" s="444"/>
      <c r="K763" s="444"/>
      <c r="L763" s="444"/>
      <c r="M763" s="112"/>
    </row>
    <row r="764" spans="1:13" x14ac:dyDescent="0.3">
      <c r="A764" s="136"/>
      <c r="M764" s="178"/>
    </row>
    <row r="765" spans="1:13" x14ac:dyDescent="0.3">
      <c r="A765" s="136"/>
      <c r="B765" s="6"/>
      <c r="C765" s="6"/>
      <c r="D765" s="6"/>
      <c r="E765" s="6"/>
      <c r="F765" s="6"/>
      <c r="G765" s="6"/>
      <c r="H765" s="6"/>
      <c r="I765" s="6"/>
      <c r="J765" s="6"/>
      <c r="K765" s="6"/>
      <c r="M765" s="178"/>
    </row>
    <row r="766" spans="1:13" x14ac:dyDescent="0.3">
      <c r="A766" s="52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12"/>
    </row>
    <row r="767" spans="1:13" x14ac:dyDescent="0.3">
      <c r="A767" s="52"/>
      <c r="B767" s="448"/>
      <c r="C767" s="448"/>
      <c r="D767" s="448"/>
      <c r="E767" s="448"/>
      <c r="F767" s="448"/>
      <c r="G767" s="448"/>
      <c r="H767" s="445"/>
      <c r="I767" s="445"/>
      <c r="J767" s="448"/>
      <c r="K767" s="448"/>
      <c r="L767" s="448"/>
      <c r="M767" s="112"/>
    </row>
    <row r="768" spans="1:13" x14ac:dyDescent="0.3">
      <c r="A768" s="52"/>
      <c r="B768" s="448"/>
      <c r="C768" s="448"/>
      <c r="D768" s="448"/>
      <c r="E768" s="448"/>
      <c r="F768" s="448"/>
      <c r="G768" s="448"/>
      <c r="H768" s="445"/>
      <c r="I768" s="445"/>
      <c r="J768" s="448"/>
      <c r="K768" s="448"/>
      <c r="L768" s="448"/>
      <c r="M768" s="112"/>
    </row>
    <row r="769" spans="1:13" x14ac:dyDescent="0.3">
      <c r="B769" s="444"/>
      <c r="C769" s="444"/>
      <c r="D769" s="444"/>
      <c r="E769" s="444"/>
      <c r="F769" s="444"/>
      <c r="G769" s="444"/>
      <c r="H769" s="445"/>
      <c r="I769" s="445"/>
      <c r="K769" s="178"/>
      <c r="L769" s="112"/>
      <c r="M769" s="112"/>
    </row>
    <row r="770" spans="1:13" x14ac:dyDescent="0.3">
      <c r="B770" s="444"/>
      <c r="C770" s="444"/>
      <c r="D770" s="444"/>
      <c r="E770" s="444"/>
      <c r="F770" s="444"/>
      <c r="G770" s="444"/>
      <c r="H770" s="445"/>
      <c r="I770" s="445"/>
      <c r="K770" s="178"/>
      <c r="L770" s="178"/>
      <c r="M770" s="112"/>
    </row>
    <row r="771" spans="1:13" x14ac:dyDescent="0.3">
      <c r="B771" s="444"/>
      <c r="C771" s="444"/>
      <c r="D771" s="444"/>
      <c r="E771" s="444"/>
      <c r="F771" s="444"/>
      <c r="G771" s="444"/>
      <c r="H771" s="445"/>
      <c r="I771" s="445"/>
      <c r="K771" s="112"/>
      <c r="L771" s="178"/>
      <c r="M771" s="112"/>
    </row>
    <row r="772" spans="1:13" x14ac:dyDescent="0.3">
      <c r="B772" s="444"/>
      <c r="C772" s="444"/>
      <c r="D772" s="444"/>
      <c r="E772" s="444"/>
      <c r="F772" s="444"/>
      <c r="G772" s="444"/>
      <c r="H772" s="444"/>
      <c r="I772" s="444"/>
      <c r="K772" s="112"/>
      <c r="L772" s="112"/>
      <c r="M772" s="178"/>
    </row>
    <row r="773" spans="1:13" x14ac:dyDescent="0.3">
      <c r="B773" s="444"/>
      <c r="C773" s="444"/>
      <c r="D773" s="444"/>
      <c r="E773" s="444"/>
      <c r="F773" s="444"/>
      <c r="G773" s="444"/>
      <c r="H773" s="444"/>
      <c r="I773" s="444"/>
      <c r="K773" s="112"/>
      <c r="L773" s="112"/>
      <c r="M773" s="76"/>
    </row>
    <row r="774" spans="1:13" x14ac:dyDescent="0.3">
      <c r="B774" s="444"/>
      <c r="C774" s="444"/>
      <c r="D774" s="444"/>
      <c r="E774" s="444"/>
      <c r="F774" s="444"/>
      <c r="G774" s="444"/>
      <c r="H774" s="444"/>
      <c r="I774" s="444"/>
      <c r="K774" s="112"/>
      <c r="L774" s="112"/>
      <c r="M774" s="159"/>
    </row>
    <row r="775" spans="1:13" x14ac:dyDescent="0.3">
      <c r="B775" s="444"/>
      <c r="C775" s="444"/>
      <c r="D775" s="444"/>
      <c r="E775" s="444"/>
      <c r="F775" s="444"/>
      <c r="G775" s="444"/>
      <c r="H775" s="444"/>
      <c r="I775" s="444"/>
      <c r="K775" s="112"/>
      <c r="L775" s="112"/>
    </row>
    <row r="776" spans="1:13" x14ac:dyDescent="0.3">
      <c r="B776" s="444"/>
      <c r="C776" s="444"/>
      <c r="D776" s="444"/>
      <c r="E776" s="444"/>
      <c r="F776" s="444"/>
      <c r="G776" s="444"/>
      <c r="H776" s="444"/>
      <c r="I776" s="444"/>
      <c r="K776" s="112"/>
      <c r="L776" s="112"/>
      <c r="M776" s="6"/>
    </row>
    <row r="777" spans="1:13" x14ac:dyDescent="0.3">
      <c r="A777" s="159"/>
      <c r="B777" s="444"/>
      <c r="C777" s="444"/>
      <c r="D777" s="444"/>
      <c r="E777" s="444"/>
      <c r="F777" s="444"/>
      <c r="G777" s="444"/>
      <c r="H777" s="444"/>
      <c r="I777" s="444"/>
      <c r="K777" s="112"/>
      <c r="L777" s="112"/>
      <c r="M777" s="6"/>
    </row>
    <row r="778" spans="1:13" x14ac:dyDescent="0.3">
      <c r="B778" s="444"/>
      <c r="C778" s="444"/>
      <c r="D778" s="444"/>
      <c r="E778" s="444"/>
      <c r="F778" s="444"/>
      <c r="G778" s="444"/>
      <c r="H778" s="444"/>
      <c r="I778" s="444"/>
      <c r="K778" s="178"/>
      <c r="L778" s="178"/>
      <c r="M778" s="6"/>
    </row>
    <row r="779" spans="1:13" x14ac:dyDescent="0.3">
      <c r="A779" s="179"/>
      <c r="B779" s="444"/>
      <c r="C779" s="444"/>
      <c r="D779" s="444"/>
      <c r="E779" s="444"/>
      <c r="F779" s="444"/>
      <c r="G779" s="444"/>
      <c r="J779" s="445"/>
      <c r="K779" s="445"/>
      <c r="L779" s="445"/>
      <c r="M779" s="76"/>
    </row>
    <row r="780" spans="1:13" x14ac:dyDescent="0.3"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6"/>
    </row>
    <row r="781" spans="1:13" ht="23.4" x14ac:dyDescent="0.45">
      <c r="A781" s="52"/>
      <c r="B781" s="446"/>
      <c r="C781" s="446"/>
      <c r="D781" s="446"/>
      <c r="E781" s="446"/>
      <c r="F781" s="446"/>
      <c r="G781" s="446"/>
      <c r="H781" s="446"/>
      <c r="I781" s="446"/>
      <c r="J781" s="52"/>
      <c r="M781" s="28"/>
    </row>
    <row r="782" spans="1:13" x14ac:dyDescent="0.3">
      <c r="B782" s="444"/>
      <c r="C782" s="444"/>
      <c r="D782" s="444"/>
      <c r="E782" s="444"/>
      <c r="F782" s="444"/>
      <c r="G782" s="444"/>
      <c r="H782" s="444"/>
      <c r="I782" s="444"/>
      <c r="J782" s="444"/>
      <c r="K782" s="444"/>
      <c r="L782" s="444"/>
      <c r="M782" s="13"/>
    </row>
    <row r="783" spans="1:13" x14ac:dyDescent="0.3">
      <c r="B783" s="454"/>
      <c r="C783" s="454"/>
      <c r="D783" s="454"/>
      <c r="E783" s="454"/>
      <c r="K783" s="444"/>
      <c r="L783" s="444"/>
      <c r="M783" s="13"/>
    </row>
    <row r="784" spans="1:13" x14ac:dyDescent="0.3">
      <c r="A784" s="52"/>
      <c r="B784" s="454"/>
      <c r="C784" s="454"/>
      <c r="D784" s="454"/>
      <c r="E784" s="454"/>
      <c r="F784" s="52"/>
      <c r="G784" s="52"/>
      <c r="H784" s="52"/>
      <c r="I784" s="52"/>
      <c r="J784" s="52"/>
      <c r="K784" s="444"/>
      <c r="L784" s="444"/>
      <c r="M784" s="34"/>
    </row>
    <row r="785" spans="1:13" x14ac:dyDescent="0.3">
      <c r="A785" s="13"/>
      <c r="B785" s="455"/>
      <c r="C785" s="455"/>
      <c r="D785" s="455"/>
      <c r="E785" s="455"/>
      <c r="F785" s="445"/>
      <c r="G785" s="445"/>
      <c r="H785" s="445"/>
      <c r="I785" s="445"/>
      <c r="J785" s="445"/>
      <c r="K785" s="445"/>
      <c r="L785" s="445"/>
      <c r="M785" s="34"/>
    </row>
    <row r="786" spans="1:13" x14ac:dyDescent="0.3">
      <c r="A786" s="13"/>
      <c r="K786" s="6"/>
      <c r="L786" s="6"/>
      <c r="M786" s="74"/>
    </row>
    <row r="787" spans="1:13" ht="23.4" x14ac:dyDescent="0.45">
      <c r="A787" s="6"/>
      <c r="B787" s="52"/>
      <c r="C787" s="52"/>
      <c r="D787" s="52"/>
      <c r="E787" s="52"/>
      <c r="F787" s="456"/>
      <c r="G787" s="456"/>
      <c r="H787" s="456"/>
      <c r="I787" s="456"/>
      <c r="J787" s="456"/>
      <c r="K787" s="181"/>
      <c r="L787" s="28"/>
      <c r="M787" s="34"/>
    </row>
    <row r="788" spans="1:13" x14ac:dyDescent="0.3">
      <c r="B788" s="13"/>
      <c r="C788" s="13"/>
      <c r="D788" s="13"/>
      <c r="E788" s="13"/>
      <c r="F788" s="13"/>
      <c r="G788" s="13"/>
      <c r="H788" s="13"/>
      <c r="I788" s="13"/>
      <c r="J788" s="13"/>
      <c r="K788" s="448"/>
      <c r="L788" s="448"/>
      <c r="M788" s="74"/>
    </row>
    <row r="789" spans="1:13" x14ac:dyDescent="0.3">
      <c r="A789" s="182"/>
      <c r="B789" s="13"/>
      <c r="C789" s="13"/>
      <c r="D789" s="13"/>
      <c r="E789" s="13"/>
      <c r="F789" s="13"/>
      <c r="G789" s="13"/>
      <c r="H789" s="13"/>
      <c r="I789" s="13"/>
      <c r="J789" s="13"/>
      <c r="K789" s="448"/>
      <c r="L789" s="448"/>
      <c r="M789" s="34"/>
    </row>
    <row r="790" spans="1:13" x14ac:dyDescent="0.3">
      <c r="B790" s="6"/>
      <c r="C790" s="6"/>
      <c r="D790" s="6"/>
      <c r="E790" s="6"/>
      <c r="F790" s="6"/>
      <c r="G790" s="6"/>
      <c r="H790" s="6"/>
      <c r="I790" s="6"/>
      <c r="J790" s="6"/>
      <c r="K790" s="452"/>
      <c r="L790" s="452"/>
      <c r="M790" s="34"/>
    </row>
    <row r="791" spans="1:13" x14ac:dyDescent="0.3">
      <c r="A791" s="182"/>
      <c r="K791" s="452"/>
      <c r="L791" s="452"/>
      <c r="M791" s="34"/>
    </row>
    <row r="792" spans="1:13" x14ac:dyDescent="0.3">
      <c r="A792" s="182"/>
      <c r="B792" s="182"/>
      <c r="C792" s="183"/>
      <c r="D792" s="184"/>
      <c r="E792" s="184"/>
      <c r="K792" s="453"/>
      <c r="L792" s="453"/>
      <c r="M792" s="34"/>
    </row>
    <row r="793" spans="1:13" x14ac:dyDescent="0.3">
      <c r="A793" s="182"/>
      <c r="B793" s="185"/>
      <c r="C793" s="184"/>
      <c r="D793" s="186"/>
      <c r="E793" s="184"/>
      <c r="F793" s="184"/>
      <c r="G793" s="184"/>
      <c r="H793" s="184"/>
      <c r="I793" s="187"/>
      <c r="K793" s="452"/>
      <c r="L793" s="452"/>
      <c r="M793" s="34"/>
    </row>
    <row r="794" spans="1:13" x14ac:dyDescent="0.3">
      <c r="A794" s="160"/>
      <c r="B794" s="182"/>
      <c r="C794" s="183"/>
      <c r="D794" s="188"/>
      <c r="E794" s="188"/>
      <c r="I794" s="189"/>
      <c r="K794" s="453"/>
      <c r="L794" s="453"/>
      <c r="M794" s="34"/>
    </row>
    <row r="795" spans="1:13" x14ac:dyDescent="0.3">
      <c r="A795" s="161"/>
      <c r="B795" s="185"/>
      <c r="C795" s="184"/>
      <c r="D795" s="184"/>
      <c r="E795" s="184"/>
      <c r="F795" s="184"/>
      <c r="G795" s="184"/>
      <c r="H795" s="184"/>
      <c r="I795" s="189"/>
      <c r="K795" s="452"/>
      <c r="L795" s="452"/>
      <c r="M795" s="34"/>
    </row>
    <row r="796" spans="1:13" ht="14.4" x14ac:dyDescent="0.3">
      <c r="A796" s="162"/>
      <c r="B796" s="190"/>
      <c r="C796" s="187"/>
      <c r="D796" s="191"/>
      <c r="E796" s="192"/>
      <c r="F796" s="128"/>
      <c r="G796" s="128"/>
      <c r="H796" s="128"/>
      <c r="I796" s="189"/>
      <c r="K796" s="452"/>
      <c r="L796" s="452"/>
      <c r="M796" s="34"/>
    </row>
    <row r="797" spans="1:13" ht="14.4" x14ac:dyDescent="0.3">
      <c r="A797" s="163"/>
      <c r="B797" s="164"/>
      <c r="C797" s="165"/>
      <c r="D797" s="166"/>
      <c r="E797" s="166"/>
      <c r="F797" s="128"/>
      <c r="G797" s="128"/>
      <c r="H797" s="128"/>
      <c r="I797" s="167"/>
      <c r="K797" s="452"/>
      <c r="L797" s="452"/>
      <c r="M797" s="34"/>
    </row>
    <row r="798" spans="1:13" ht="14.4" x14ac:dyDescent="0.3">
      <c r="A798" s="168"/>
      <c r="B798" s="169"/>
      <c r="C798" s="165"/>
      <c r="D798" s="170"/>
      <c r="E798" s="128"/>
      <c r="F798" s="128"/>
      <c r="G798" s="128"/>
      <c r="H798" s="128"/>
      <c r="I798" s="167"/>
      <c r="J798" s="6"/>
      <c r="K798" s="452"/>
      <c r="L798" s="452"/>
      <c r="M798" s="74"/>
    </row>
    <row r="799" spans="1:13" ht="14.4" x14ac:dyDescent="0.3">
      <c r="A799" s="160"/>
      <c r="B799" s="169"/>
      <c r="C799" s="165"/>
      <c r="D799" s="170"/>
      <c r="E799" s="128"/>
      <c r="F799" s="128"/>
      <c r="G799" s="128"/>
      <c r="H799" s="128"/>
      <c r="I799" s="167"/>
      <c r="J799" s="6"/>
      <c r="K799" s="452"/>
      <c r="L799" s="452"/>
      <c r="M799" s="6"/>
    </row>
    <row r="800" spans="1:13" ht="14.4" x14ac:dyDescent="0.3">
      <c r="B800" s="169"/>
      <c r="C800" s="128"/>
      <c r="D800" s="170"/>
      <c r="E800" s="128"/>
      <c r="F800" s="128"/>
      <c r="G800" s="128"/>
      <c r="H800" s="128"/>
      <c r="I800" s="167"/>
      <c r="K800" s="452"/>
      <c r="L800" s="452"/>
      <c r="M800" s="6"/>
    </row>
    <row r="801" spans="1:13" ht="14.4" x14ac:dyDescent="0.3">
      <c r="A801" s="6"/>
      <c r="B801" s="169"/>
      <c r="C801" s="128"/>
      <c r="D801" s="128"/>
      <c r="E801" s="128"/>
      <c r="F801" s="128"/>
      <c r="G801" s="128"/>
      <c r="H801" s="128"/>
      <c r="I801" s="167"/>
      <c r="K801" s="452"/>
      <c r="L801" s="452"/>
      <c r="M801" s="6"/>
    </row>
    <row r="802" spans="1:13" x14ac:dyDescent="0.3">
      <c r="A802" s="6"/>
      <c r="B802" s="40"/>
      <c r="C802" s="160"/>
      <c r="D802" s="40"/>
      <c r="K802" s="452"/>
      <c r="L802" s="452"/>
      <c r="M802" s="6"/>
    </row>
    <row r="803" spans="1:13" x14ac:dyDescent="0.3">
      <c r="B803" s="171"/>
      <c r="C803" s="160"/>
      <c r="D803" s="40"/>
      <c r="E803" s="172"/>
      <c r="K803" s="452"/>
      <c r="L803" s="452"/>
      <c r="M803" s="124"/>
    </row>
    <row r="804" spans="1:13" x14ac:dyDescent="0.3">
      <c r="B804" s="6"/>
      <c r="C804" s="6"/>
      <c r="D804" s="6"/>
      <c r="E804" s="6"/>
      <c r="F804" s="6"/>
      <c r="G804" s="445"/>
      <c r="H804" s="445"/>
      <c r="I804" s="445"/>
      <c r="J804" s="445"/>
      <c r="K804" s="453"/>
      <c r="L804" s="453"/>
      <c r="M804" s="173"/>
    </row>
    <row r="805" spans="1:13" x14ac:dyDescent="0.3">
      <c r="B805" s="6"/>
      <c r="C805" s="6"/>
      <c r="D805" s="6"/>
      <c r="E805" s="6"/>
      <c r="F805" s="6"/>
      <c r="G805" s="444"/>
      <c r="H805" s="444"/>
      <c r="I805" s="444"/>
      <c r="J805" s="444"/>
      <c r="K805" s="444"/>
      <c r="L805" s="444"/>
      <c r="M805" s="173"/>
    </row>
    <row r="806" spans="1:13" x14ac:dyDescent="0.3">
      <c r="A806" s="124"/>
      <c r="B806" s="449"/>
      <c r="C806" s="449"/>
      <c r="D806" s="449"/>
      <c r="E806" s="449"/>
      <c r="F806" s="449"/>
      <c r="G806" s="444"/>
      <c r="H806" s="444"/>
      <c r="I806" s="444"/>
      <c r="J806" s="444"/>
      <c r="K806" s="444"/>
      <c r="L806" s="444"/>
      <c r="M806" s="174"/>
    </row>
    <row r="807" spans="1:13" x14ac:dyDescent="0.3">
      <c r="A807" s="124"/>
      <c r="B807" s="449"/>
      <c r="C807" s="449"/>
      <c r="D807" s="449"/>
      <c r="E807" s="449"/>
      <c r="F807" s="449"/>
      <c r="G807" s="444"/>
      <c r="H807" s="444"/>
      <c r="I807" s="444"/>
      <c r="J807" s="444"/>
      <c r="K807" s="444"/>
      <c r="L807" s="444"/>
      <c r="M807" s="136"/>
    </row>
    <row r="808" spans="1:13" x14ac:dyDescent="0.3">
      <c r="A808" s="124"/>
      <c r="B808" s="449"/>
      <c r="C808" s="449"/>
      <c r="D808" s="449"/>
      <c r="E808" s="449"/>
      <c r="F808" s="449"/>
      <c r="G808" s="444"/>
      <c r="H808" s="444"/>
      <c r="I808" s="444"/>
      <c r="J808" s="444"/>
      <c r="K808" s="444"/>
      <c r="L808" s="444"/>
      <c r="M808" s="6"/>
    </row>
    <row r="809" spans="1:13" x14ac:dyDescent="0.3">
      <c r="A809" s="124"/>
      <c r="B809" s="124"/>
      <c r="C809" s="124"/>
      <c r="D809" s="124"/>
      <c r="E809" s="124"/>
      <c r="F809" s="124"/>
      <c r="G809" s="449"/>
      <c r="H809" s="449"/>
      <c r="I809" s="449"/>
      <c r="J809" s="449"/>
      <c r="K809" s="449"/>
      <c r="L809" s="449"/>
    </row>
    <row r="810" spans="1:13" x14ac:dyDescent="0.3">
      <c r="A810" s="6"/>
      <c r="B810" s="124"/>
      <c r="C810" s="124"/>
      <c r="D810" s="124"/>
      <c r="E810" s="124"/>
      <c r="F810" s="124"/>
      <c r="G810" s="175"/>
      <c r="H810" s="175"/>
      <c r="I810" s="175"/>
      <c r="J810" s="173"/>
      <c r="K810" s="173"/>
      <c r="L810" s="173"/>
    </row>
    <row r="811" spans="1:13" x14ac:dyDescent="0.3">
      <c r="A811" s="6"/>
      <c r="B811" s="124"/>
      <c r="C811" s="124"/>
      <c r="D811" s="124"/>
      <c r="E811" s="124"/>
      <c r="F811" s="124"/>
      <c r="G811" s="175"/>
      <c r="H811" s="175"/>
      <c r="I811" s="175"/>
      <c r="J811" s="173"/>
      <c r="K811" s="173"/>
      <c r="L811" s="173"/>
      <c r="M811" s="6"/>
    </row>
    <row r="812" spans="1:13" x14ac:dyDescent="0.3">
      <c r="A812" s="124"/>
      <c r="B812" s="124"/>
      <c r="C812" s="124"/>
      <c r="D812" s="124"/>
      <c r="E812" s="124"/>
      <c r="F812" s="124"/>
      <c r="G812" s="450"/>
      <c r="H812" s="450"/>
      <c r="I812" s="450"/>
      <c r="J812" s="450"/>
      <c r="K812" s="450"/>
      <c r="L812" s="450"/>
      <c r="M812" s="6"/>
    </row>
    <row r="813" spans="1:13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451"/>
      <c r="K813" s="451"/>
      <c r="L813" s="451"/>
      <c r="M813" s="6"/>
    </row>
    <row r="814" spans="1:13" x14ac:dyDescent="0.3">
      <c r="A814" s="124"/>
      <c r="B814" s="6"/>
      <c r="C814" s="6"/>
      <c r="D814" s="6"/>
      <c r="E814" s="112"/>
      <c r="F814" s="112"/>
      <c r="J814" s="444"/>
      <c r="K814" s="444"/>
      <c r="L814" s="444"/>
      <c r="M814" s="6"/>
    </row>
    <row r="815" spans="1:13" x14ac:dyDescent="0.3">
      <c r="A815" s="6"/>
      <c r="B815" s="124"/>
      <c r="C815" s="124"/>
      <c r="D815" s="124"/>
      <c r="E815" s="112"/>
      <c r="F815" s="112"/>
      <c r="M815" s="6"/>
    </row>
    <row r="816" spans="1:13" x14ac:dyDescent="0.3">
      <c r="A816" s="76"/>
      <c r="B816" s="6"/>
      <c r="C816" s="6"/>
      <c r="D816" s="6"/>
      <c r="E816" s="112"/>
      <c r="F816" s="112"/>
    </row>
    <row r="817" spans="1:13" x14ac:dyDescent="0.3">
      <c r="A817" s="176"/>
      <c r="B817" s="124"/>
      <c r="C817" s="124"/>
      <c r="D817" s="124"/>
      <c r="E817" s="112"/>
      <c r="F817" s="112"/>
      <c r="J817" s="444"/>
      <c r="K817" s="444"/>
      <c r="L817" s="444"/>
    </row>
    <row r="818" spans="1:13" x14ac:dyDescent="0.3">
      <c r="A818" s="176"/>
      <c r="B818" s="6"/>
      <c r="C818" s="6"/>
      <c r="D818" s="6"/>
      <c r="E818" s="112"/>
      <c r="F818" s="112"/>
      <c r="J818" s="444"/>
      <c r="K818" s="444"/>
      <c r="L818" s="444"/>
      <c r="M818" s="159"/>
    </row>
    <row r="819" spans="1:13" x14ac:dyDescent="0.3">
      <c r="B819" s="76"/>
      <c r="C819" s="76"/>
      <c r="D819" s="76"/>
      <c r="E819" s="76"/>
      <c r="F819" s="76"/>
      <c r="G819" s="76"/>
      <c r="H819" s="76"/>
      <c r="I819" s="76"/>
      <c r="K819" s="444"/>
      <c r="L819" s="444"/>
      <c r="M819" s="13"/>
    </row>
    <row r="820" spans="1:13" x14ac:dyDescent="0.3">
      <c r="A820" s="6"/>
      <c r="B820" s="176"/>
      <c r="C820" s="176"/>
      <c r="D820" s="176"/>
      <c r="E820" s="176"/>
      <c r="F820" s="176"/>
      <c r="G820" s="176"/>
      <c r="H820" s="176"/>
      <c r="I820" s="176"/>
      <c r="K820" s="447"/>
      <c r="L820" s="444"/>
      <c r="M820" s="13"/>
    </row>
    <row r="821" spans="1:13" x14ac:dyDescent="0.3">
      <c r="A821" s="159"/>
      <c r="B821" s="176"/>
      <c r="C821" s="176"/>
      <c r="D821" s="176"/>
      <c r="E821" s="176"/>
      <c r="F821" s="176"/>
      <c r="G821" s="176"/>
      <c r="H821" s="176"/>
      <c r="I821" s="176"/>
      <c r="J821" s="444"/>
      <c r="K821" s="444"/>
      <c r="L821" s="444"/>
      <c r="M821" s="112"/>
    </row>
    <row r="822" spans="1:13" x14ac:dyDescent="0.3">
      <c r="A822" s="136"/>
      <c r="M822" s="178"/>
    </row>
    <row r="823" spans="1:13" x14ac:dyDescent="0.3">
      <c r="A823" s="136"/>
      <c r="B823" s="6"/>
      <c r="C823" s="6"/>
      <c r="D823" s="6"/>
      <c r="E823" s="6"/>
      <c r="F823" s="6"/>
      <c r="G823" s="6"/>
      <c r="H823" s="6"/>
      <c r="I823" s="6"/>
      <c r="J823" s="6"/>
      <c r="K823" s="6"/>
      <c r="M823" s="178"/>
    </row>
    <row r="824" spans="1:13" x14ac:dyDescent="0.3">
      <c r="A824" s="52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12"/>
    </row>
    <row r="825" spans="1:13" x14ac:dyDescent="0.3">
      <c r="A825" s="52"/>
      <c r="B825" s="448"/>
      <c r="C825" s="448"/>
      <c r="D825" s="448"/>
      <c r="E825" s="448"/>
      <c r="F825" s="448"/>
      <c r="G825" s="448"/>
      <c r="H825" s="445"/>
      <c r="I825" s="445"/>
      <c r="J825" s="448"/>
      <c r="K825" s="448"/>
      <c r="L825" s="448"/>
      <c r="M825" s="112"/>
    </row>
    <row r="826" spans="1:13" x14ac:dyDescent="0.3">
      <c r="A826" s="52"/>
      <c r="B826" s="448"/>
      <c r="C826" s="448"/>
      <c r="D826" s="448"/>
      <c r="E826" s="448"/>
      <c r="F826" s="448"/>
      <c r="G826" s="448"/>
      <c r="H826" s="445"/>
      <c r="I826" s="445"/>
      <c r="J826" s="448"/>
      <c r="K826" s="448"/>
      <c r="L826" s="448"/>
      <c r="M826" s="112"/>
    </row>
    <row r="827" spans="1:13" x14ac:dyDescent="0.3">
      <c r="B827" s="444"/>
      <c r="C827" s="444"/>
      <c r="D827" s="444"/>
      <c r="E827" s="444"/>
      <c r="F827" s="444"/>
      <c r="G827" s="444"/>
      <c r="H827" s="445"/>
      <c r="I827" s="445"/>
      <c r="K827" s="178"/>
      <c r="L827" s="112"/>
      <c r="M827" s="112"/>
    </row>
    <row r="828" spans="1:13" x14ac:dyDescent="0.3">
      <c r="B828" s="444"/>
      <c r="C828" s="444"/>
      <c r="D828" s="444"/>
      <c r="E828" s="444"/>
      <c r="F828" s="444"/>
      <c r="G828" s="444"/>
      <c r="H828" s="445"/>
      <c r="I828" s="445"/>
      <c r="K828" s="178"/>
      <c r="L828" s="178"/>
      <c r="M828" s="112"/>
    </row>
    <row r="829" spans="1:13" x14ac:dyDescent="0.3">
      <c r="B829" s="444"/>
      <c r="C829" s="444"/>
      <c r="D829" s="444"/>
      <c r="E829" s="444"/>
      <c r="F829" s="444"/>
      <c r="G829" s="444"/>
      <c r="H829" s="445"/>
      <c r="I829" s="445"/>
      <c r="K829" s="112"/>
      <c r="L829" s="178"/>
      <c r="M829" s="112"/>
    </row>
    <row r="830" spans="1:13" x14ac:dyDescent="0.3">
      <c r="B830" s="444"/>
      <c r="C830" s="444"/>
      <c r="D830" s="444"/>
      <c r="E830" s="444"/>
      <c r="F830" s="444"/>
      <c r="G830" s="444"/>
      <c r="H830" s="444"/>
      <c r="I830" s="444"/>
      <c r="K830" s="112"/>
      <c r="L830" s="112"/>
      <c r="M830" s="178"/>
    </row>
    <row r="831" spans="1:13" x14ac:dyDescent="0.3">
      <c r="B831" s="444"/>
      <c r="C831" s="444"/>
      <c r="D831" s="444"/>
      <c r="E831" s="444"/>
      <c r="F831" s="444"/>
      <c r="G831" s="444"/>
      <c r="H831" s="444"/>
      <c r="I831" s="444"/>
      <c r="K831" s="112"/>
      <c r="L831" s="112"/>
      <c r="M831" s="76"/>
    </row>
    <row r="832" spans="1:13" x14ac:dyDescent="0.3">
      <c r="B832" s="444"/>
      <c r="C832" s="444"/>
      <c r="D832" s="444"/>
      <c r="E832" s="444"/>
      <c r="F832" s="444"/>
      <c r="G832" s="444"/>
      <c r="H832" s="444"/>
      <c r="I832" s="444"/>
      <c r="K832" s="112"/>
      <c r="L832" s="112"/>
      <c r="M832" s="159"/>
    </row>
    <row r="833" spans="1:13" x14ac:dyDescent="0.3">
      <c r="B833" s="444"/>
      <c r="C833" s="444"/>
      <c r="D833" s="444"/>
      <c r="E833" s="444"/>
      <c r="F833" s="444"/>
      <c r="G833" s="444"/>
      <c r="H833" s="444"/>
      <c r="I833" s="444"/>
      <c r="K833" s="112"/>
      <c r="L833" s="112"/>
    </row>
    <row r="834" spans="1:13" x14ac:dyDescent="0.3">
      <c r="B834" s="444"/>
      <c r="C834" s="444"/>
      <c r="D834" s="444"/>
      <c r="E834" s="444"/>
      <c r="F834" s="444"/>
      <c r="G834" s="444"/>
      <c r="H834" s="444"/>
      <c r="I834" s="444"/>
      <c r="K834" s="112"/>
      <c r="L834" s="112"/>
      <c r="M834" s="6"/>
    </row>
    <row r="835" spans="1:13" x14ac:dyDescent="0.3">
      <c r="A835" s="159"/>
      <c r="B835" s="444"/>
      <c r="C835" s="444"/>
      <c r="D835" s="444"/>
      <c r="E835" s="444"/>
      <c r="F835" s="444"/>
      <c r="G835" s="444"/>
      <c r="H835" s="444"/>
      <c r="I835" s="444"/>
      <c r="K835" s="112"/>
      <c r="L835" s="112"/>
      <c r="M835" s="6"/>
    </row>
    <row r="836" spans="1:13" x14ac:dyDescent="0.3">
      <c r="B836" s="444"/>
      <c r="C836" s="444"/>
      <c r="D836" s="444"/>
      <c r="E836" s="444"/>
      <c r="F836" s="444"/>
      <c r="G836" s="444"/>
      <c r="H836" s="444"/>
      <c r="I836" s="444"/>
      <c r="K836" s="178"/>
      <c r="L836" s="178"/>
      <c r="M836" s="6"/>
    </row>
    <row r="837" spans="1:13" x14ac:dyDescent="0.3">
      <c r="A837" s="179"/>
      <c r="B837" s="444"/>
      <c r="C837" s="444"/>
      <c r="D837" s="444"/>
      <c r="E837" s="444"/>
      <c r="F837" s="444"/>
      <c r="G837" s="444"/>
      <c r="J837" s="445"/>
      <c r="K837" s="445"/>
      <c r="L837" s="445"/>
      <c r="M837" s="76"/>
    </row>
    <row r="838" spans="1:13" x14ac:dyDescent="0.3"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6"/>
    </row>
    <row r="839" spans="1:13" ht="23.4" x14ac:dyDescent="0.45">
      <c r="A839" s="52"/>
      <c r="B839" s="446"/>
      <c r="C839" s="446"/>
      <c r="D839" s="446"/>
      <c r="E839" s="446"/>
      <c r="F839" s="446"/>
      <c r="G839" s="446"/>
      <c r="H839" s="446"/>
      <c r="I839" s="446"/>
      <c r="J839" s="52"/>
      <c r="M839" s="28"/>
    </row>
    <row r="840" spans="1:13" x14ac:dyDescent="0.3">
      <c r="B840" s="444"/>
      <c r="C840" s="444"/>
      <c r="D840" s="444"/>
      <c r="E840" s="444"/>
      <c r="F840" s="444"/>
      <c r="G840" s="444"/>
      <c r="H840" s="444"/>
      <c r="I840" s="444"/>
      <c r="J840" s="444"/>
      <c r="K840" s="444"/>
      <c r="L840" s="444"/>
      <c r="M840" s="13"/>
    </row>
    <row r="841" spans="1:13" x14ac:dyDescent="0.3">
      <c r="B841" s="454"/>
      <c r="C841" s="454"/>
      <c r="D841" s="454"/>
      <c r="E841" s="454"/>
      <c r="K841" s="444"/>
      <c r="L841" s="444"/>
      <c r="M841" s="13"/>
    </row>
    <row r="842" spans="1:13" x14ac:dyDescent="0.3">
      <c r="A842" s="52"/>
      <c r="B842" s="454"/>
      <c r="C842" s="454"/>
      <c r="D842" s="454"/>
      <c r="E842" s="454"/>
      <c r="F842" s="52"/>
      <c r="G842" s="52"/>
      <c r="H842" s="52"/>
      <c r="I842" s="52"/>
      <c r="J842" s="52"/>
      <c r="K842" s="444"/>
      <c r="L842" s="444"/>
      <c r="M842" s="34"/>
    </row>
    <row r="843" spans="1:13" x14ac:dyDescent="0.3">
      <c r="A843" s="13"/>
      <c r="B843" s="455"/>
      <c r="C843" s="455"/>
      <c r="D843" s="455"/>
      <c r="E843" s="455"/>
      <c r="F843" s="445"/>
      <c r="G843" s="445"/>
      <c r="H843" s="445"/>
      <c r="I843" s="445"/>
      <c r="J843" s="445"/>
      <c r="K843" s="445"/>
      <c r="L843" s="445"/>
      <c r="M843" s="34"/>
    </row>
    <row r="844" spans="1:13" x14ac:dyDescent="0.3">
      <c r="A844" s="13"/>
      <c r="K844" s="6"/>
      <c r="L844" s="6"/>
      <c r="M844" s="74"/>
    </row>
    <row r="845" spans="1:13" ht="23.4" x14ac:dyDescent="0.45">
      <c r="A845" s="6"/>
      <c r="B845" s="52"/>
      <c r="C845" s="52"/>
      <c r="D845" s="52"/>
      <c r="E845" s="52"/>
      <c r="F845" s="456"/>
      <c r="G845" s="456"/>
      <c r="H845" s="456"/>
      <c r="I845" s="456"/>
      <c r="J845" s="456"/>
      <c r="K845" s="181"/>
      <c r="L845" s="28"/>
      <c r="M845" s="34"/>
    </row>
    <row r="846" spans="1:13" x14ac:dyDescent="0.3">
      <c r="B846" s="13"/>
      <c r="C846" s="13"/>
      <c r="D846" s="13"/>
      <c r="E846" s="13"/>
      <c r="F846" s="13"/>
      <c r="G846" s="13"/>
      <c r="H846" s="13"/>
      <c r="I846" s="13"/>
      <c r="J846" s="13"/>
      <c r="K846" s="448"/>
      <c r="L846" s="448"/>
      <c r="M846" s="74"/>
    </row>
    <row r="847" spans="1:13" x14ac:dyDescent="0.3">
      <c r="A847" s="182"/>
      <c r="B847" s="13"/>
      <c r="C847" s="13"/>
      <c r="D847" s="13"/>
      <c r="E847" s="13"/>
      <c r="F847" s="13"/>
      <c r="G847" s="13"/>
      <c r="H847" s="13"/>
      <c r="I847" s="13"/>
      <c r="J847" s="13"/>
      <c r="K847" s="448"/>
      <c r="L847" s="448"/>
      <c r="M847" s="34"/>
    </row>
    <row r="848" spans="1:13" x14ac:dyDescent="0.3">
      <c r="B848" s="6"/>
      <c r="C848" s="6"/>
      <c r="D848" s="6"/>
      <c r="E848" s="6"/>
      <c r="F848" s="6"/>
      <c r="G848" s="6"/>
      <c r="H848" s="6"/>
      <c r="I848" s="6"/>
      <c r="J848" s="6"/>
      <c r="K848" s="452"/>
      <c r="L848" s="452"/>
      <c r="M848" s="34"/>
    </row>
    <row r="849" spans="1:13" x14ac:dyDescent="0.3">
      <c r="A849" s="182"/>
      <c r="K849" s="452"/>
      <c r="L849" s="452"/>
      <c r="M849" s="34"/>
    </row>
    <row r="850" spans="1:13" x14ac:dyDescent="0.3">
      <c r="A850" s="182"/>
      <c r="B850" s="182"/>
      <c r="C850" s="183"/>
      <c r="D850" s="184"/>
      <c r="E850" s="184"/>
      <c r="K850" s="453"/>
      <c r="L850" s="453"/>
      <c r="M850" s="34"/>
    </row>
    <row r="851" spans="1:13" x14ac:dyDescent="0.3">
      <c r="A851" s="182"/>
      <c r="B851" s="185"/>
      <c r="C851" s="184"/>
      <c r="D851" s="186"/>
      <c r="E851" s="184"/>
      <c r="F851" s="184"/>
      <c r="G851" s="184"/>
      <c r="H851" s="184"/>
      <c r="I851" s="187"/>
      <c r="K851" s="452"/>
      <c r="L851" s="452"/>
      <c r="M851" s="34"/>
    </row>
    <row r="852" spans="1:13" x14ac:dyDescent="0.3">
      <c r="A852" s="160"/>
      <c r="B852" s="182"/>
      <c r="C852" s="183"/>
      <c r="D852" s="188"/>
      <c r="E852" s="188"/>
      <c r="I852" s="189"/>
      <c r="K852" s="453"/>
      <c r="L852" s="453"/>
      <c r="M852" s="34"/>
    </row>
    <row r="853" spans="1:13" x14ac:dyDescent="0.3">
      <c r="A853" s="161"/>
      <c r="B853" s="185"/>
      <c r="C853" s="184"/>
      <c r="D853" s="184"/>
      <c r="E853" s="184"/>
      <c r="F853" s="184"/>
      <c r="G853" s="184"/>
      <c r="H853" s="184"/>
      <c r="I853" s="189"/>
      <c r="K853" s="452"/>
      <c r="L853" s="452"/>
      <c r="M853" s="34"/>
    </row>
    <row r="854" spans="1:13" ht="14.4" x14ac:dyDescent="0.3">
      <c r="A854" s="162"/>
      <c r="B854" s="190"/>
      <c r="C854" s="187"/>
      <c r="D854" s="191"/>
      <c r="E854" s="192"/>
      <c r="F854" s="128"/>
      <c r="G854" s="128"/>
      <c r="H854" s="128"/>
      <c r="I854" s="189"/>
      <c r="K854" s="452"/>
      <c r="L854" s="452"/>
      <c r="M854" s="34"/>
    </row>
    <row r="855" spans="1:13" ht="14.4" x14ac:dyDescent="0.3">
      <c r="A855" s="163"/>
      <c r="B855" s="164"/>
      <c r="C855" s="165"/>
      <c r="D855" s="166"/>
      <c r="E855" s="166"/>
      <c r="F855" s="128"/>
      <c r="G855" s="128"/>
      <c r="H855" s="128"/>
      <c r="I855" s="167"/>
      <c r="K855" s="452"/>
      <c r="L855" s="452"/>
      <c r="M855" s="34"/>
    </row>
    <row r="856" spans="1:13" ht="14.4" x14ac:dyDescent="0.3">
      <c r="A856" s="168"/>
      <c r="B856" s="169"/>
      <c r="C856" s="165"/>
      <c r="D856" s="170"/>
      <c r="E856" s="128"/>
      <c r="F856" s="128"/>
      <c r="G856" s="128"/>
      <c r="H856" s="128"/>
      <c r="I856" s="167"/>
      <c r="J856" s="6"/>
      <c r="K856" s="452"/>
      <c r="L856" s="452"/>
      <c r="M856" s="74"/>
    </row>
    <row r="857" spans="1:13" ht="14.4" x14ac:dyDescent="0.3">
      <c r="A857" s="160"/>
      <c r="B857" s="169"/>
      <c r="C857" s="165"/>
      <c r="D857" s="170"/>
      <c r="E857" s="128"/>
      <c r="F857" s="128"/>
      <c r="G857" s="128"/>
      <c r="H857" s="128"/>
      <c r="I857" s="167"/>
      <c r="J857" s="6"/>
      <c r="K857" s="452"/>
      <c r="L857" s="452"/>
      <c r="M857" s="6"/>
    </row>
    <row r="858" spans="1:13" ht="14.4" x14ac:dyDescent="0.3">
      <c r="B858" s="169"/>
      <c r="C858" s="128"/>
      <c r="D858" s="170"/>
      <c r="E858" s="128"/>
      <c r="F858" s="128"/>
      <c r="G858" s="128"/>
      <c r="H858" s="128"/>
      <c r="I858" s="167"/>
      <c r="K858" s="452"/>
      <c r="L858" s="452"/>
      <c r="M858" s="6"/>
    </row>
    <row r="859" spans="1:13" ht="14.4" x14ac:dyDescent="0.3">
      <c r="A859" s="6"/>
      <c r="B859" s="169"/>
      <c r="C859" s="128"/>
      <c r="D859" s="128"/>
      <c r="E859" s="128"/>
      <c r="F859" s="128"/>
      <c r="G859" s="128"/>
      <c r="H859" s="128"/>
      <c r="I859" s="167"/>
      <c r="K859" s="452"/>
      <c r="L859" s="452"/>
      <c r="M859" s="6"/>
    </row>
    <row r="860" spans="1:13" x14ac:dyDescent="0.3">
      <c r="A860" s="6"/>
      <c r="B860" s="40"/>
      <c r="C860" s="160"/>
      <c r="D860" s="40"/>
      <c r="K860" s="452"/>
      <c r="L860" s="452"/>
      <c r="M860" s="6"/>
    </row>
    <row r="861" spans="1:13" x14ac:dyDescent="0.3">
      <c r="B861" s="171"/>
      <c r="C861" s="160"/>
      <c r="D861" s="40"/>
      <c r="E861" s="172"/>
      <c r="K861" s="452"/>
      <c r="L861" s="452"/>
      <c r="M861" s="124"/>
    </row>
    <row r="862" spans="1:13" x14ac:dyDescent="0.3">
      <c r="B862" s="6"/>
      <c r="C862" s="6"/>
      <c r="D862" s="6"/>
      <c r="E862" s="6"/>
      <c r="F862" s="6"/>
      <c r="G862" s="445"/>
      <c r="H862" s="445"/>
      <c r="I862" s="445"/>
      <c r="J862" s="445"/>
      <c r="K862" s="453"/>
      <c r="L862" s="453"/>
      <c r="M862" s="173"/>
    </row>
    <row r="863" spans="1:13" x14ac:dyDescent="0.3">
      <c r="B863" s="6"/>
      <c r="C863" s="6"/>
      <c r="D863" s="6"/>
      <c r="E863" s="6"/>
      <c r="F863" s="6"/>
      <c r="G863" s="444"/>
      <c r="H863" s="444"/>
      <c r="I863" s="444"/>
      <c r="J863" s="444"/>
      <c r="K863" s="444"/>
      <c r="L863" s="444"/>
      <c r="M863" s="173"/>
    </row>
    <row r="864" spans="1:13" x14ac:dyDescent="0.3">
      <c r="A864" s="124"/>
      <c r="B864" s="449"/>
      <c r="C864" s="449"/>
      <c r="D864" s="449"/>
      <c r="E864" s="449"/>
      <c r="F864" s="449"/>
      <c r="G864" s="444"/>
      <c r="H864" s="444"/>
      <c r="I864" s="444"/>
      <c r="J864" s="444"/>
      <c r="K864" s="444"/>
      <c r="L864" s="444"/>
      <c r="M864" s="174"/>
    </row>
    <row r="865" spans="1:13" x14ac:dyDescent="0.3">
      <c r="A865" s="124"/>
      <c r="B865" s="449"/>
      <c r="C865" s="449"/>
      <c r="D865" s="449"/>
      <c r="E865" s="449"/>
      <c r="F865" s="449"/>
      <c r="G865" s="444"/>
      <c r="H865" s="444"/>
      <c r="I865" s="444"/>
      <c r="J865" s="444"/>
      <c r="K865" s="444"/>
      <c r="L865" s="444"/>
      <c r="M865" s="136"/>
    </row>
    <row r="866" spans="1:13" x14ac:dyDescent="0.3">
      <c r="A866" s="124"/>
      <c r="B866" s="449"/>
      <c r="C866" s="449"/>
      <c r="D866" s="449"/>
      <c r="E866" s="449"/>
      <c r="F866" s="449"/>
      <c r="G866" s="444"/>
      <c r="H866" s="444"/>
      <c r="I866" s="444"/>
      <c r="J866" s="444"/>
      <c r="K866" s="444"/>
      <c r="L866" s="444"/>
      <c r="M866" s="6"/>
    </row>
    <row r="867" spans="1:13" x14ac:dyDescent="0.3">
      <c r="A867" s="124"/>
      <c r="B867" s="124"/>
      <c r="C867" s="124"/>
      <c r="D867" s="124"/>
      <c r="E867" s="124"/>
      <c r="F867" s="124"/>
      <c r="G867" s="449"/>
      <c r="H867" s="449"/>
      <c r="I867" s="449"/>
      <c r="J867" s="449"/>
      <c r="K867" s="449"/>
      <c r="L867" s="449"/>
    </row>
    <row r="868" spans="1:13" x14ac:dyDescent="0.3">
      <c r="A868" s="6"/>
      <c r="B868" s="124"/>
      <c r="C868" s="124"/>
      <c r="D868" s="124"/>
      <c r="E868" s="124"/>
      <c r="F868" s="124"/>
      <c r="G868" s="175"/>
      <c r="H868" s="175"/>
      <c r="I868" s="175"/>
      <c r="J868" s="173"/>
      <c r="K868" s="173"/>
      <c r="L868" s="173"/>
    </row>
    <row r="869" spans="1:13" x14ac:dyDescent="0.3">
      <c r="A869" s="6"/>
      <c r="B869" s="124"/>
      <c r="C869" s="124"/>
      <c r="D869" s="124"/>
      <c r="E869" s="124"/>
      <c r="F869" s="124"/>
      <c r="G869" s="175"/>
      <c r="H869" s="175"/>
      <c r="I869" s="175"/>
      <c r="J869" s="173"/>
      <c r="K869" s="173"/>
      <c r="L869" s="173"/>
      <c r="M869" s="6"/>
    </row>
    <row r="870" spans="1:13" x14ac:dyDescent="0.3">
      <c r="A870" s="124"/>
      <c r="B870" s="124"/>
      <c r="C870" s="124"/>
      <c r="D870" s="124"/>
      <c r="E870" s="124"/>
      <c r="F870" s="124"/>
      <c r="G870" s="450"/>
      <c r="H870" s="450"/>
      <c r="I870" s="450"/>
      <c r="J870" s="450"/>
      <c r="K870" s="450"/>
      <c r="L870" s="450"/>
      <c r="M870" s="6"/>
    </row>
    <row r="871" spans="1:13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451"/>
      <c r="K871" s="451"/>
      <c r="L871" s="451"/>
      <c r="M871" s="6"/>
    </row>
    <row r="872" spans="1:13" x14ac:dyDescent="0.3">
      <c r="A872" s="124"/>
      <c r="B872" s="6"/>
      <c r="C872" s="6"/>
      <c r="D872" s="6"/>
      <c r="E872" s="112"/>
      <c r="F872" s="112"/>
      <c r="J872" s="444"/>
      <c r="K872" s="444"/>
      <c r="L872" s="444"/>
      <c r="M872" s="6"/>
    </row>
    <row r="873" spans="1:13" x14ac:dyDescent="0.3">
      <c r="A873" s="6"/>
      <c r="B873" s="124"/>
      <c r="C873" s="124"/>
      <c r="D873" s="124"/>
      <c r="E873" s="112"/>
      <c r="F873" s="112"/>
      <c r="M873" s="6"/>
    </row>
    <row r="874" spans="1:13" x14ac:dyDescent="0.3">
      <c r="A874" s="76"/>
      <c r="B874" s="6"/>
      <c r="C874" s="6"/>
      <c r="D874" s="6"/>
      <c r="E874" s="112"/>
      <c r="F874" s="112"/>
    </row>
    <row r="875" spans="1:13" x14ac:dyDescent="0.3">
      <c r="A875" s="176"/>
      <c r="B875" s="124"/>
      <c r="C875" s="124"/>
      <c r="D875" s="124"/>
      <c r="E875" s="112"/>
      <c r="F875" s="112"/>
      <c r="J875" s="444"/>
      <c r="K875" s="444"/>
      <c r="L875" s="444"/>
    </row>
    <row r="876" spans="1:13" x14ac:dyDescent="0.3">
      <c r="A876" s="176"/>
      <c r="B876" s="6"/>
      <c r="C876" s="6"/>
      <c r="D876" s="6"/>
      <c r="E876" s="112"/>
      <c r="F876" s="112"/>
      <c r="J876" s="444"/>
      <c r="K876" s="444"/>
      <c r="L876" s="444"/>
      <c r="M876" s="159"/>
    </row>
    <row r="877" spans="1:13" x14ac:dyDescent="0.3">
      <c r="B877" s="76"/>
      <c r="C877" s="76"/>
      <c r="D877" s="76"/>
      <c r="E877" s="76"/>
      <c r="F877" s="76"/>
      <c r="G877" s="76"/>
      <c r="H877" s="76"/>
      <c r="I877" s="76"/>
      <c r="K877" s="444"/>
      <c r="L877" s="444"/>
      <c r="M877" s="13"/>
    </row>
    <row r="878" spans="1:13" x14ac:dyDescent="0.3">
      <c r="A878" s="6"/>
      <c r="B878" s="176"/>
      <c r="C878" s="176"/>
      <c r="D878" s="176"/>
      <c r="E878" s="176"/>
      <c r="F878" s="176"/>
      <c r="G878" s="176"/>
      <c r="H878" s="176"/>
      <c r="I878" s="176"/>
      <c r="K878" s="447"/>
      <c r="L878" s="444"/>
      <c r="M878" s="13"/>
    </row>
    <row r="879" spans="1:13" x14ac:dyDescent="0.3">
      <c r="A879" s="159"/>
      <c r="B879" s="176"/>
      <c r="C879" s="176"/>
      <c r="D879" s="176"/>
      <c r="E879" s="176"/>
      <c r="F879" s="176"/>
      <c r="G879" s="176"/>
      <c r="H879" s="176"/>
      <c r="I879" s="176"/>
      <c r="J879" s="444"/>
      <c r="K879" s="444"/>
      <c r="L879" s="444"/>
      <c r="M879" s="112"/>
    </row>
    <row r="880" spans="1:13" x14ac:dyDescent="0.3">
      <c r="A880" s="136"/>
      <c r="M880" s="178"/>
    </row>
    <row r="881" spans="1:13" x14ac:dyDescent="0.3">
      <c r="A881" s="136"/>
      <c r="B881" s="6"/>
      <c r="C881" s="6"/>
      <c r="D881" s="6"/>
      <c r="E881" s="6"/>
      <c r="F881" s="6"/>
      <c r="G881" s="6"/>
      <c r="H881" s="6"/>
      <c r="I881" s="6"/>
      <c r="J881" s="6"/>
      <c r="K881" s="6"/>
      <c r="M881" s="178"/>
    </row>
    <row r="882" spans="1:13" x14ac:dyDescent="0.3">
      <c r="A882" s="52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12"/>
    </row>
    <row r="883" spans="1:13" x14ac:dyDescent="0.3">
      <c r="A883" s="52"/>
      <c r="B883" s="448"/>
      <c r="C883" s="448"/>
      <c r="D883" s="448"/>
      <c r="E883" s="448"/>
      <c r="F883" s="448"/>
      <c r="G883" s="448"/>
      <c r="H883" s="445"/>
      <c r="I883" s="445"/>
      <c r="J883" s="448"/>
      <c r="K883" s="448"/>
      <c r="L883" s="448"/>
      <c r="M883" s="112"/>
    </row>
    <row r="884" spans="1:13" x14ac:dyDescent="0.3">
      <c r="A884" s="52"/>
      <c r="B884" s="448"/>
      <c r="C884" s="448"/>
      <c r="D884" s="448"/>
      <c r="E884" s="448"/>
      <c r="F884" s="448"/>
      <c r="G884" s="448"/>
      <c r="H884" s="445"/>
      <c r="I884" s="445"/>
      <c r="J884" s="448"/>
      <c r="K884" s="448"/>
      <c r="L884" s="448"/>
      <c r="M884" s="112"/>
    </row>
    <row r="885" spans="1:13" x14ac:dyDescent="0.3">
      <c r="B885" s="444"/>
      <c r="C885" s="444"/>
      <c r="D885" s="444"/>
      <c r="E885" s="444"/>
      <c r="F885" s="444"/>
      <c r="G885" s="444"/>
      <c r="H885" s="445"/>
      <c r="I885" s="445"/>
      <c r="K885" s="178"/>
      <c r="L885" s="112"/>
      <c r="M885" s="112"/>
    </row>
    <row r="886" spans="1:13" x14ac:dyDescent="0.3">
      <c r="B886" s="444"/>
      <c r="C886" s="444"/>
      <c r="D886" s="444"/>
      <c r="E886" s="444"/>
      <c r="F886" s="444"/>
      <c r="G886" s="444"/>
      <c r="H886" s="445"/>
      <c r="I886" s="445"/>
      <c r="K886" s="178"/>
      <c r="L886" s="178"/>
      <c r="M886" s="112"/>
    </row>
    <row r="887" spans="1:13" x14ac:dyDescent="0.3">
      <c r="B887" s="444"/>
      <c r="C887" s="444"/>
      <c r="D887" s="444"/>
      <c r="E887" s="444"/>
      <c r="F887" s="444"/>
      <c r="G887" s="444"/>
      <c r="H887" s="445"/>
      <c r="I887" s="445"/>
      <c r="K887" s="112"/>
      <c r="L887" s="178"/>
      <c r="M887" s="112"/>
    </row>
    <row r="888" spans="1:13" x14ac:dyDescent="0.3">
      <c r="B888" s="444"/>
      <c r="C888" s="444"/>
      <c r="D888" s="444"/>
      <c r="E888" s="444"/>
      <c r="F888" s="444"/>
      <c r="G888" s="444"/>
      <c r="H888" s="444"/>
      <c r="I888" s="444"/>
      <c r="K888" s="112"/>
      <c r="L888" s="112"/>
      <c r="M888" s="178"/>
    </row>
    <row r="889" spans="1:13" x14ac:dyDescent="0.3">
      <c r="B889" s="444"/>
      <c r="C889" s="444"/>
      <c r="D889" s="444"/>
      <c r="E889" s="444"/>
      <c r="F889" s="444"/>
      <c r="G889" s="444"/>
      <c r="H889" s="444"/>
      <c r="I889" s="444"/>
      <c r="K889" s="112"/>
      <c r="L889" s="112"/>
      <c r="M889" s="76"/>
    </row>
    <row r="890" spans="1:13" x14ac:dyDescent="0.3">
      <c r="B890" s="444"/>
      <c r="C890" s="444"/>
      <c r="D890" s="444"/>
      <c r="E890" s="444"/>
      <c r="F890" s="444"/>
      <c r="G890" s="444"/>
      <c r="H890" s="444"/>
      <c r="I890" s="444"/>
      <c r="K890" s="112"/>
      <c r="L890" s="112"/>
      <c r="M890" s="159"/>
    </row>
    <row r="891" spans="1:13" x14ac:dyDescent="0.3">
      <c r="B891" s="444"/>
      <c r="C891" s="444"/>
      <c r="D891" s="444"/>
      <c r="E891" s="444"/>
      <c r="F891" s="444"/>
      <c r="G891" s="444"/>
      <c r="H891" s="444"/>
      <c r="I891" s="444"/>
      <c r="K891" s="112"/>
      <c r="L891" s="112"/>
    </row>
    <row r="892" spans="1:13" x14ac:dyDescent="0.3">
      <c r="B892" s="444"/>
      <c r="C892" s="444"/>
      <c r="D892" s="444"/>
      <c r="E892" s="444"/>
      <c r="F892" s="444"/>
      <c r="G892" s="444"/>
      <c r="H892" s="444"/>
      <c r="I892" s="444"/>
      <c r="K892" s="112"/>
      <c r="L892" s="112"/>
      <c r="M892" s="6"/>
    </row>
    <row r="893" spans="1:13" x14ac:dyDescent="0.3">
      <c r="A893" s="159"/>
      <c r="B893" s="444"/>
      <c r="C893" s="444"/>
      <c r="D893" s="444"/>
      <c r="E893" s="444"/>
      <c r="F893" s="444"/>
      <c r="G893" s="444"/>
      <c r="H893" s="444"/>
      <c r="I893" s="444"/>
      <c r="K893" s="112"/>
      <c r="L893" s="112"/>
      <c r="M893" s="6"/>
    </row>
    <row r="894" spans="1:13" x14ac:dyDescent="0.3">
      <c r="B894" s="444"/>
      <c r="C894" s="444"/>
      <c r="D894" s="444"/>
      <c r="E894" s="444"/>
      <c r="F894" s="444"/>
      <c r="G894" s="444"/>
      <c r="H894" s="444"/>
      <c r="I894" s="444"/>
      <c r="K894" s="178"/>
      <c r="L894" s="178"/>
      <c r="M894" s="6"/>
    </row>
    <row r="895" spans="1:13" x14ac:dyDescent="0.3">
      <c r="A895" s="179"/>
      <c r="B895" s="444"/>
      <c r="C895" s="444"/>
      <c r="D895" s="444"/>
      <c r="E895" s="444"/>
      <c r="F895" s="444"/>
      <c r="G895" s="444"/>
      <c r="J895" s="445"/>
      <c r="K895" s="445"/>
      <c r="L895" s="445"/>
      <c r="M895" s="76"/>
    </row>
    <row r="896" spans="1:13" x14ac:dyDescent="0.3"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6"/>
    </row>
    <row r="897" spans="1:13" ht="23.4" x14ac:dyDescent="0.45">
      <c r="A897" s="52"/>
      <c r="B897" s="446"/>
      <c r="C897" s="446"/>
      <c r="D897" s="446"/>
      <c r="E897" s="446"/>
      <c r="F897" s="446"/>
      <c r="G897" s="446"/>
      <c r="H897" s="446"/>
      <c r="I897" s="446"/>
      <c r="J897" s="52"/>
      <c r="M897" s="28"/>
    </row>
    <row r="898" spans="1:13" x14ac:dyDescent="0.3">
      <c r="B898" s="444"/>
      <c r="C898" s="444"/>
      <c r="D898" s="444"/>
      <c r="E898" s="444"/>
      <c r="F898" s="444"/>
      <c r="G898" s="444"/>
      <c r="H898" s="444"/>
      <c r="I898" s="444"/>
      <c r="J898" s="444"/>
      <c r="K898" s="444"/>
      <c r="L898" s="444"/>
      <c r="M898" s="13"/>
    </row>
    <row r="899" spans="1:13" x14ac:dyDescent="0.3">
      <c r="B899" s="454"/>
      <c r="C899" s="454"/>
      <c r="D899" s="454"/>
      <c r="E899" s="454"/>
      <c r="K899" s="444"/>
      <c r="L899" s="444"/>
      <c r="M899" s="13"/>
    </row>
    <row r="900" spans="1:13" x14ac:dyDescent="0.3">
      <c r="A900" s="52"/>
      <c r="B900" s="454"/>
      <c r="C900" s="454"/>
      <c r="D900" s="454"/>
      <c r="E900" s="454"/>
      <c r="F900" s="52"/>
      <c r="G900" s="52"/>
      <c r="H900" s="52"/>
      <c r="I900" s="52"/>
      <c r="J900" s="52"/>
      <c r="K900" s="444"/>
      <c r="L900" s="444"/>
      <c r="M900" s="34"/>
    </row>
    <row r="901" spans="1:13" x14ac:dyDescent="0.3">
      <c r="A901" s="13"/>
      <c r="B901" s="455"/>
      <c r="C901" s="455"/>
      <c r="D901" s="455"/>
      <c r="E901" s="455"/>
      <c r="F901" s="445"/>
      <c r="G901" s="445"/>
      <c r="H901" s="445"/>
      <c r="I901" s="445"/>
      <c r="J901" s="445"/>
      <c r="K901" s="445"/>
      <c r="L901" s="445"/>
      <c r="M901" s="34"/>
    </row>
    <row r="902" spans="1:13" x14ac:dyDescent="0.3">
      <c r="A902" s="13"/>
      <c r="K902" s="6"/>
      <c r="L902" s="6"/>
      <c r="M902" s="74"/>
    </row>
    <row r="903" spans="1:13" ht="23.4" x14ac:dyDescent="0.45">
      <c r="A903" s="6"/>
      <c r="B903" s="52"/>
      <c r="C903" s="52"/>
      <c r="D903" s="52"/>
      <c r="E903" s="52"/>
      <c r="F903" s="456"/>
      <c r="G903" s="456"/>
      <c r="H903" s="456"/>
      <c r="I903" s="456"/>
      <c r="J903" s="456"/>
      <c r="K903" s="181"/>
      <c r="L903" s="28"/>
      <c r="M903" s="34"/>
    </row>
    <row r="904" spans="1:13" x14ac:dyDescent="0.3">
      <c r="B904" s="13"/>
      <c r="C904" s="13"/>
      <c r="D904" s="13"/>
      <c r="E904" s="13"/>
      <c r="F904" s="13"/>
      <c r="G904" s="13"/>
      <c r="H904" s="13"/>
      <c r="I904" s="13"/>
      <c r="J904" s="13"/>
      <c r="K904" s="448"/>
      <c r="L904" s="448"/>
      <c r="M904" s="74"/>
    </row>
    <row r="905" spans="1:13" x14ac:dyDescent="0.3">
      <c r="A905" s="182"/>
      <c r="B905" s="13"/>
      <c r="C905" s="13"/>
      <c r="D905" s="13"/>
      <c r="E905" s="13"/>
      <c r="F905" s="13"/>
      <c r="G905" s="13"/>
      <c r="H905" s="13"/>
      <c r="I905" s="13"/>
      <c r="J905" s="13"/>
      <c r="K905" s="448"/>
      <c r="L905" s="448"/>
      <c r="M905" s="34"/>
    </row>
    <row r="906" spans="1:13" x14ac:dyDescent="0.3">
      <c r="B906" s="6"/>
      <c r="C906" s="6"/>
      <c r="D906" s="6"/>
      <c r="E906" s="6"/>
      <c r="F906" s="6"/>
      <c r="G906" s="6"/>
      <c r="H906" s="6"/>
      <c r="I906" s="6"/>
      <c r="J906" s="6"/>
      <c r="K906" s="452"/>
      <c r="L906" s="452"/>
      <c r="M906" s="34"/>
    </row>
    <row r="907" spans="1:13" x14ac:dyDescent="0.3">
      <c r="A907" s="182"/>
      <c r="K907" s="452"/>
      <c r="L907" s="452"/>
      <c r="M907" s="34"/>
    </row>
    <row r="908" spans="1:13" x14ac:dyDescent="0.3">
      <c r="A908" s="182"/>
      <c r="B908" s="182"/>
      <c r="C908" s="183"/>
      <c r="D908" s="184"/>
      <c r="E908" s="184"/>
      <c r="K908" s="453"/>
      <c r="L908" s="453"/>
      <c r="M908" s="34"/>
    </row>
    <row r="909" spans="1:13" x14ac:dyDescent="0.3">
      <c r="A909" s="182"/>
      <c r="B909" s="185"/>
      <c r="C909" s="184"/>
      <c r="D909" s="186"/>
      <c r="E909" s="184"/>
      <c r="F909" s="184"/>
      <c r="G909" s="184"/>
      <c r="H909" s="184"/>
      <c r="I909" s="187"/>
      <c r="K909" s="452"/>
      <c r="L909" s="452"/>
      <c r="M909" s="34"/>
    </row>
    <row r="910" spans="1:13" x14ac:dyDescent="0.3">
      <c r="A910" s="160"/>
      <c r="B910" s="182"/>
      <c r="C910" s="183"/>
      <c r="D910" s="188"/>
      <c r="E910" s="188"/>
      <c r="I910" s="189"/>
      <c r="K910" s="453"/>
      <c r="L910" s="453"/>
      <c r="M910" s="34"/>
    </row>
    <row r="911" spans="1:13" x14ac:dyDescent="0.3">
      <c r="A911" s="161"/>
      <c r="B911" s="185"/>
      <c r="C911" s="184"/>
      <c r="D911" s="184"/>
      <c r="E911" s="184"/>
      <c r="F911" s="184"/>
      <c r="G911" s="184"/>
      <c r="H911" s="184"/>
      <c r="I911" s="189"/>
      <c r="K911" s="452"/>
      <c r="L911" s="452"/>
      <c r="M911" s="34"/>
    </row>
    <row r="912" spans="1:13" ht="14.4" x14ac:dyDescent="0.3">
      <c r="A912" s="162"/>
      <c r="B912" s="190"/>
      <c r="C912" s="187"/>
      <c r="D912" s="191"/>
      <c r="E912" s="192"/>
      <c r="F912" s="128"/>
      <c r="G912" s="128"/>
      <c r="H912" s="128"/>
      <c r="I912" s="189"/>
      <c r="K912" s="452"/>
      <c r="L912" s="452"/>
      <c r="M912" s="34"/>
    </row>
    <row r="913" spans="1:13" ht="14.4" x14ac:dyDescent="0.3">
      <c r="A913" s="163"/>
      <c r="B913" s="164"/>
      <c r="C913" s="165"/>
      <c r="D913" s="166"/>
      <c r="E913" s="166"/>
      <c r="F913" s="128"/>
      <c r="G913" s="128"/>
      <c r="H913" s="128"/>
      <c r="I913" s="167"/>
      <c r="K913" s="452"/>
      <c r="L913" s="452"/>
      <c r="M913" s="34"/>
    </row>
    <row r="914" spans="1:13" ht="14.4" x14ac:dyDescent="0.3">
      <c r="A914" s="168"/>
      <c r="B914" s="169"/>
      <c r="C914" s="165"/>
      <c r="D914" s="170"/>
      <c r="E914" s="128"/>
      <c r="F914" s="128"/>
      <c r="G914" s="128"/>
      <c r="H914" s="128"/>
      <c r="I914" s="167"/>
      <c r="J914" s="6"/>
      <c r="K914" s="452"/>
      <c r="L914" s="452"/>
      <c r="M914" s="74"/>
    </row>
    <row r="915" spans="1:13" ht="14.4" x14ac:dyDescent="0.3">
      <c r="A915" s="160"/>
      <c r="B915" s="169"/>
      <c r="C915" s="165"/>
      <c r="D915" s="170"/>
      <c r="E915" s="128"/>
      <c r="F915" s="128"/>
      <c r="G915" s="128"/>
      <c r="H915" s="128"/>
      <c r="I915" s="167"/>
      <c r="J915" s="6"/>
      <c r="K915" s="452"/>
      <c r="L915" s="452"/>
      <c r="M915" s="6"/>
    </row>
    <row r="916" spans="1:13" ht="14.4" x14ac:dyDescent="0.3">
      <c r="B916" s="169"/>
      <c r="C916" s="128"/>
      <c r="D916" s="170"/>
      <c r="E916" s="128"/>
      <c r="F916" s="128"/>
      <c r="G916" s="128"/>
      <c r="H916" s="128"/>
      <c r="I916" s="167"/>
      <c r="K916" s="452"/>
      <c r="L916" s="452"/>
      <c r="M916" s="6"/>
    </row>
    <row r="917" spans="1:13" ht="14.4" x14ac:dyDescent="0.3">
      <c r="A917" s="6"/>
      <c r="B917" s="169"/>
      <c r="C917" s="128"/>
      <c r="D917" s="128"/>
      <c r="E917" s="128"/>
      <c r="F917" s="128"/>
      <c r="G917" s="128"/>
      <c r="H917" s="128"/>
      <c r="I917" s="167"/>
      <c r="K917" s="452"/>
      <c r="L917" s="452"/>
      <c r="M917" s="6"/>
    </row>
    <row r="918" spans="1:13" x14ac:dyDescent="0.3">
      <c r="A918" s="6"/>
      <c r="B918" s="40"/>
      <c r="C918" s="160"/>
      <c r="D918" s="40"/>
      <c r="K918" s="452"/>
      <c r="L918" s="452"/>
      <c r="M918" s="6"/>
    </row>
    <row r="919" spans="1:13" x14ac:dyDescent="0.3">
      <c r="B919" s="171"/>
      <c r="C919" s="160"/>
      <c r="D919" s="40"/>
      <c r="E919" s="172"/>
      <c r="K919" s="452"/>
      <c r="L919" s="452"/>
      <c r="M919" s="124"/>
    </row>
    <row r="920" spans="1:13" x14ac:dyDescent="0.3">
      <c r="B920" s="6"/>
      <c r="C920" s="6"/>
      <c r="D920" s="6"/>
      <c r="E920" s="6"/>
      <c r="F920" s="6"/>
      <c r="G920" s="445"/>
      <c r="H920" s="445"/>
      <c r="I920" s="445"/>
      <c r="J920" s="445"/>
      <c r="K920" s="453"/>
      <c r="L920" s="453"/>
      <c r="M920" s="173"/>
    </row>
    <row r="921" spans="1:13" x14ac:dyDescent="0.3">
      <c r="B921" s="6"/>
      <c r="C921" s="6"/>
      <c r="D921" s="6"/>
      <c r="E921" s="6"/>
      <c r="F921" s="6"/>
      <c r="G921" s="444"/>
      <c r="H921" s="444"/>
      <c r="I921" s="444"/>
      <c r="J921" s="444"/>
      <c r="K921" s="444"/>
      <c r="L921" s="444"/>
      <c r="M921" s="173"/>
    </row>
    <row r="922" spans="1:13" x14ac:dyDescent="0.3">
      <c r="A922" s="124"/>
      <c r="B922" s="449"/>
      <c r="C922" s="449"/>
      <c r="D922" s="449"/>
      <c r="E922" s="449"/>
      <c r="F922" s="449"/>
      <c r="G922" s="444"/>
      <c r="H922" s="444"/>
      <c r="I922" s="444"/>
      <c r="J922" s="444"/>
      <c r="K922" s="444"/>
      <c r="L922" s="444"/>
      <c r="M922" s="174"/>
    </row>
    <row r="923" spans="1:13" x14ac:dyDescent="0.3">
      <c r="A923" s="124"/>
      <c r="B923" s="449"/>
      <c r="C923" s="449"/>
      <c r="D923" s="449"/>
      <c r="E923" s="449"/>
      <c r="F923" s="449"/>
      <c r="G923" s="444"/>
      <c r="H923" s="444"/>
      <c r="I923" s="444"/>
      <c r="J923" s="444"/>
      <c r="K923" s="444"/>
      <c r="L923" s="444"/>
      <c r="M923" s="136"/>
    </row>
    <row r="924" spans="1:13" x14ac:dyDescent="0.3">
      <c r="A924" s="124"/>
      <c r="B924" s="449"/>
      <c r="C924" s="449"/>
      <c r="D924" s="449"/>
      <c r="E924" s="449"/>
      <c r="F924" s="449"/>
      <c r="G924" s="444"/>
      <c r="H924" s="444"/>
      <c r="I924" s="444"/>
      <c r="J924" s="444"/>
      <c r="K924" s="444"/>
      <c r="L924" s="444"/>
      <c r="M924" s="6"/>
    </row>
    <row r="925" spans="1:13" x14ac:dyDescent="0.3">
      <c r="A925" s="124"/>
      <c r="B925" s="124"/>
      <c r="C925" s="124"/>
      <c r="D925" s="124"/>
      <c r="E925" s="124"/>
      <c r="F925" s="124"/>
      <c r="G925" s="449"/>
      <c r="H925" s="449"/>
      <c r="I925" s="449"/>
      <c r="J925" s="449"/>
      <c r="K925" s="449"/>
      <c r="L925" s="449"/>
    </row>
    <row r="926" spans="1:13" x14ac:dyDescent="0.3">
      <c r="A926" s="6"/>
      <c r="B926" s="124"/>
      <c r="C926" s="124"/>
      <c r="D926" s="124"/>
      <c r="E926" s="124"/>
      <c r="F926" s="124"/>
      <c r="G926" s="175"/>
      <c r="H926" s="175"/>
      <c r="I926" s="175"/>
      <c r="J926" s="173"/>
      <c r="K926" s="173"/>
      <c r="L926" s="173"/>
    </row>
    <row r="927" spans="1:13" x14ac:dyDescent="0.3">
      <c r="A927" s="6"/>
      <c r="B927" s="124"/>
      <c r="C927" s="124"/>
      <c r="D927" s="124"/>
      <c r="E927" s="124"/>
      <c r="F927" s="124"/>
      <c r="G927" s="175"/>
      <c r="H927" s="175"/>
      <c r="I927" s="175"/>
      <c r="J927" s="173"/>
      <c r="K927" s="173"/>
      <c r="L927" s="173"/>
      <c r="M927" s="6"/>
    </row>
    <row r="928" spans="1:13" x14ac:dyDescent="0.3">
      <c r="A928" s="124"/>
      <c r="B928" s="124"/>
      <c r="C928" s="124"/>
      <c r="D928" s="124"/>
      <c r="E928" s="124"/>
      <c r="F928" s="124"/>
      <c r="G928" s="450"/>
      <c r="H928" s="450"/>
      <c r="I928" s="450"/>
      <c r="J928" s="450"/>
      <c r="K928" s="450"/>
      <c r="L928" s="450"/>
      <c r="M928" s="6"/>
    </row>
    <row r="929" spans="1:13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451"/>
      <c r="K929" s="451"/>
      <c r="L929" s="451"/>
      <c r="M929" s="6"/>
    </row>
    <row r="930" spans="1:13" x14ac:dyDescent="0.3">
      <c r="A930" s="124"/>
      <c r="B930" s="6"/>
      <c r="C930" s="6"/>
      <c r="D930" s="6"/>
      <c r="E930" s="112"/>
      <c r="F930" s="112"/>
      <c r="J930" s="444"/>
      <c r="K930" s="444"/>
      <c r="L930" s="444"/>
      <c r="M930" s="6"/>
    </row>
    <row r="931" spans="1:13" x14ac:dyDescent="0.3">
      <c r="A931" s="6"/>
      <c r="B931" s="124"/>
      <c r="C931" s="124"/>
      <c r="D931" s="124"/>
      <c r="E931" s="112"/>
      <c r="F931" s="112"/>
      <c r="M931" s="6"/>
    </row>
    <row r="932" spans="1:13" x14ac:dyDescent="0.3">
      <c r="A932" s="76"/>
      <c r="B932" s="6"/>
      <c r="C932" s="6"/>
      <c r="D932" s="6"/>
      <c r="E932" s="112"/>
      <c r="F932" s="112"/>
    </row>
    <row r="933" spans="1:13" x14ac:dyDescent="0.3">
      <c r="A933" s="176"/>
      <c r="B933" s="124"/>
      <c r="C933" s="124"/>
      <c r="D933" s="124"/>
      <c r="E933" s="112"/>
      <c r="F933" s="112"/>
      <c r="J933" s="444"/>
      <c r="K933" s="444"/>
      <c r="L933" s="444"/>
    </row>
    <row r="934" spans="1:13" x14ac:dyDescent="0.3">
      <c r="A934" s="176"/>
      <c r="B934" s="6"/>
      <c r="C934" s="6"/>
      <c r="D934" s="6"/>
      <c r="E934" s="112"/>
      <c r="F934" s="112"/>
      <c r="J934" s="444"/>
      <c r="K934" s="444"/>
      <c r="L934" s="444"/>
      <c r="M934" s="159"/>
    </row>
    <row r="935" spans="1:13" x14ac:dyDescent="0.3">
      <c r="B935" s="76"/>
      <c r="C935" s="76"/>
      <c r="D935" s="76"/>
      <c r="E935" s="76"/>
      <c r="F935" s="76"/>
      <c r="G935" s="76"/>
      <c r="H935" s="76"/>
      <c r="I935" s="76"/>
      <c r="K935" s="444"/>
      <c r="L935" s="444"/>
      <c r="M935" s="13"/>
    </row>
    <row r="936" spans="1:13" x14ac:dyDescent="0.3">
      <c r="A936" s="6"/>
      <c r="B936" s="176"/>
      <c r="C936" s="176"/>
      <c r="D936" s="176"/>
      <c r="E936" s="176"/>
      <c r="F936" s="176"/>
      <c r="G936" s="176"/>
      <c r="H936" s="176"/>
      <c r="I936" s="176"/>
      <c r="K936" s="447"/>
      <c r="L936" s="444"/>
      <c r="M936" s="13"/>
    </row>
    <row r="937" spans="1:13" x14ac:dyDescent="0.3">
      <c r="A937" s="159"/>
      <c r="B937" s="176"/>
      <c r="C937" s="176"/>
      <c r="D937" s="176"/>
      <c r="E937" s="176"/>
      <c r="F937" s="176"/>
      <c r="G937" s="176"/>
      <c r="H937" s="176"/>
      <c r="I937" s="176"/>
      <c r="J937" s="444"/>
      <c r="K937" s="444"/>
      <c r="L937" s="444"/>
      <c r="M937" s="112"/>
    </row>
    <row r="938" spans="1:13" x14ac:dyDescent="0.3">
      <c r="A938" s="136"/>
      <c r="M938" s="178"/>
    </row>
    <row r="939" spans="1:13" x14ac:dyDescent="0.3">
      <c r="A939" s="136"/>
      <c r="B939" s="6"/>
      <c r="C939" s="6"/>
      <c r="D939" s="6"/>
      <c r="E939" s="6"/>
      <c r="F939" s="6"/>
      <c r="G939" s="6"/>
      <c r="H939" s="6"/>
      <c r="I939" s="6"/>
      <c r="J939" s="6"/>
      <c r="K939" s="6"/>
      <c r="M939" s="178"/>
    </row>
    <row r="940" spans="1:13" x14ac:dyDescent="0.3">
      <c r="A940" s="52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12"/>
    </row>
    <row r="941" spans="1:13" x14ac:dyDescent="0.3">
      <c r="A941" s="52"/>
      <c r="B941" s="448"/>
      <c r="C941" s="448"/>
      <c r="D941" s="448"/>
      <c r="E941" s="448"/>
      <c r="F941" s="448"/>
      <c r="G941" s="448"/>
      <c r="H941" s="445"/>
      <c r="I941" s="445"/>
      <c r="J941" s="448"/>
      <c r="K941" s="448"/>
      <c r="L941" s="448"/>
      <c r="M941" s="112"/>
    </row>
    <row r="942" spans="1:13" x14ac:dyDescent="0.3">
      <c r="A942" s="52"/>
      <c r="B942" s="448"/>
      <c r="C942" s="448"/>
      <c r="D942" s="448"/>
      <c r="E942" s="448"/>
      <c r="F942" s="448"/>
      <c r="G942" s="448"/>
      <c r="H942" s="445"/>
      <c r="I942" s="445"/>
      <c r="J942" s="448"/>
      <c r="K942" s="448"/>
      <c r="L942" s="448"/>
      <c r="M942" s="112"/>
    </row>
    <row r="943" spans="1:13" x14ac:dyDescent="0.3">
      <c r="B943" s="444"/>
      <c r="C943" s="444"/>
      <c r="D943" s="444"/>
      <c r="E943" s="444"/>
      <c r="F943" s="444"/>
      <c r="G943" s="444"/>
      <c r="H943" s="445"/>
      <c r="I943" s="445"/>
      <c r="K943" s="178"/>
      <c r="L943" s="112"/>
      <c r="M943" s="112"/>
    </row>
    <row r="944" spans="1:13" x14ac:dyDescent="0.3">
      <c r="B944" s="444"/>
      <c r="C944" s="444"/>
      <c r="D944" s="444"/>
      <c r="E944" s="444"/>
      <c r="F944" s="444"/>
      <c r="G944" s="444"/>
      <c r="H944" s="445"/>
      <c r="I944" s="445"/>
      <c r="K944" s="178"/>
      <c r="L944" s="178"/>
      <c r="M944" s="112"/>
    </row>
    <row r="945" spans="1:13" x14ac:dyDescent="0.3">
      <c r="B945" s="444"/>
      <c r="C945" s="444"/>
      <c r="D945" s="444"/>
      <c r="E945" s="444"/>
      <c r="F945" s="444"/>
      <c r="G945" s="444"/>
      <c r="H945" s="445"/>
      <c r="I945" s="445"/>
      <c r="K945" s="112"/>
      <c r="L945" s="178"/>
      <c r="M945" s="112"/>
    </row>
    <row r="946" spans="1:13" x14ac:dyDescent="0.3">
      <c r="B946" s="444"/>
      <c r="C946" s="444"/>
      <c r="D946" s="444"/>
      <c r="E946" s="444"/>
      <c r="F946" s="444"/>
      <c r="G946" s="444"/>
      <c r="H946" s="444"/>
      <c r="I946" s="444"/>
      <c r="K946" s="112"/>
      <c r="L946" s="112"/>
      <c r="M946" s="178"/>
    </row>
    <row r="947" spans="1:13" x14ac:dyDescent="0.3">
      <c r="B947" s="444"/>
      <c r="C947" s="444"/>
      <c r="D947" s="444"/>
      <c r="E947" s="444"/>
      <c r="F947" s="444"/>
      <c r="G947" s="444"/>
      <c r="H947" s="444"/>
      <c r="I947" s="444"/>
      <c r="K947" s="112"/>
      <c r="L947" s="112"/>
      <c r="M947" s="76"/>
    </row>
    <row r="948" spans="1:13" x14ac:dyDescent="0.3">
      <c r="B948" s="444"/>
      <c r="C948" s="444"/>
      <c r="D948" s="444"/>
      <c r="E948" s="444"/>
      <c r="F948" s="444"/>
      <c r="G948" s="444"/>
      <c r="H948" s="444"/>
      <c r="I948" s="444"/>
      <c r="K948" s="112"/>
      <c r="L948" s="112"/>
      <c r="M948" s="159"/>
    </row>
    <row r="949" spans="1:13" x14ac:dyDescent="0.3">
      <c r="B949" s="444"/>
      <c r="C949" s="444"/>
      <c r="D949" s="444"/>
      <c r="E949" s="444"/>
      <c r="F949" s="444"/>
      <c r="G949" s="444"/>
      <c r="H949" s="444"/>
      <c r="I949" s="444"/>
      <c r="K949" s="112"/>
      <c r="L949" s="112"/>
    </row>
    <row r="950" spans="1:13" x14ac:dyDescent="0.3">
      <c r="B950" s="444"/>
      <c r="C950" s="444"/>
      <c r="D950" s="444"/>
      <c r="E950" s="444"/>
      <c r="F950" s="444"/>
      <c r="G950" s="444"/>
      <c r="H950" s="444"/>
      <c r="I950" s="444"/>
      <c r="K950" s="112"/>
      <c r="L950" s="112"/>
      <c r="M950" s="6"/>
    </row>
    <row r="951" spans="1:13" x14ac:dyDescent="0.3">
      <c r="A951" s="159"/>
      <c r="B951" s="444"/>
      <c r="C951" s="444"/>
      <c r="D951" s="444"/>
      <c r="E951" s="444"/>
      <c r="F951" s="444"/>
      <c r="G951" s="444"/>
      <c r="H951" s="444"/>
      <c r="I951" s="444"/>
      <c r="K951" s="112"/>
      <c r="L951" s="112"/>
      <c r="M951" s="6"/>
    </row>
    <row r="952" spans="1:13" x14ac:dyDescent="0.3">
      <c r="B952" s="444"/>
      <c r="C952" s="444"/>
      <c r="D952" s="444"/>
      <c r="E952" s="444"/>
      <c r="F952" s="444"/>
      <c r="G952" s="444"/>
      <c r="H952" s="444"/>
      <c r="I952" s="444"/>
      <c r="K952" s="178"/>
      <c r="L952" s="178"/>
      <c r="M952" s="6"/>
    </row>
    <row r="953" spans="1:13" x14ac:dyDescent="0.3">
      <c r="A953" s="179"/>
      <c r="B953" s="444"/>
      <c r="C953" s="444"/>
      <c r="D953" s="444"/>
      <c r="E953" s="444"/>
      <c r="F953" s="444"/>
      <c r="G953" s="444"/>
      <c r="J953" s="445"/>
      <c r="K953" s="445"/>
      <c r="L953" s="445"/>
      <c r="M953" s="76"/>
    </row>
    <row r="954" spans="1:13" x14ac:dyDescent="0.3"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6"/>
    </row>
    <row r="955" spans="1:13" ht="23.4" x14ac:dyDescent="0.45">
      <c r="A955" s="52"/>
      <c r="B955" s="446"/>
      <c r="C955" s="446"/>
      <c r="D955" s="446"/>
      <c r="E955" s="446"/>
      <c r="F955" s="446"/>
      <c r="G955" s="446"/>
      <c r="H955" s="446"/>
      <c r="I955" s="446"/>
      <c r="J955" s="52"/>
      <c r="M955" s="28"/>
    </row>
    <row r="956" spans="1:13" x14ac:dyDescent="0.3">
      <c r="B956" s="444"/>
      <c r="C956" s="444"/>
      <c r="D956" s="444"/>
      <c r="E956" s="444"/>
      <c r="F956" s="444"/>
      <c r="G956" s="444"/>
      <c r="H956" s="444"/>
      <c r="I956" s="444"/>
      <c r="J956" s="444"/>
      <c r="K956" s="444"/>
      <c r="L956" s="444"/>
      <c r="M956" s="13"/>
    </row>
    <row r="957" spans="1:13" x14ac:dyDescent="0.3">
      <c r="B957" s="454"/>
      <c r="C957" s="454"/>
      <c r="D957" s="454"/>
      <c r="E957" s="454"/>
      <c r="K957" s="444"/>
      <c r="L957" s="444"/>
      <c r="M957" s="13"/>
    </row>
    <row r="958" spans="1:13" x14ac:dyDescent="0.3">
      <c r="A958" s="52"/>
      <c r="B958" s="454"/>
      <c r="C958" s="454"/>
      <c r="D958" s="454"/>
      <c r="E958" s="454"/>
      <c r="F958" s="52"/>
      <c r="G958" s="52"/>
      <c r="H958" s="52"/>
      <c r="I958" s="52"/>
      <c r="J958" s="52"/>
      <c r="K958" s="444"/>
      <c r="L958" s="444"/>
      <c r="M958" s="34"/>
    </row>
    <row r="959" spans="1:13" x14ac:dyDescent="0.3">
      <c r="A959" s="13"/>
      <c r="B959" s="455"/>
      <c r="C959" s="455"/>
      <c r="D959" s="455"/>
      <c r="E959" s="455"/>
      <c r="F959" s="445"/>
      <c r="G959" s="445"/>
      <c r="H959" s="445"/>
      <c r="I959" s="445"/>
      <c r="J959" s="445"/>
      <c r="K959" s="445"/>
      <c r="L959" s="445"/>
      <c r="M959" s="34"/>
    </row>
    <row r="960" spans="1:13" x14ac:dyDescent="0.3">
      <c r="A960" s="13"/>
      <c r="K960" s="6"/>
      <c r="L960" s="6"/>
      <c r="M960" s="74"/>
    </row>
    <row r="961" spans="1:13" ht="23.4" x14ac:dyDescent="0.45">
      <c r="A961" s="6"/>
      <c r="B961" s="52"/>
      <c r="C961" s="52"/>
      <c r="D961" s="52"/>
      <c r="E961" s="52"/>
      <c r="F961" s="456"/>
      <c r="G961" s="456"/>
      <c r="H961" s="456"/>
      <c r="I961" s="456"/>
      <c r="J961" s="456"/>
      <c r="K961" s="181"/>
      <c r="L961" s="28"/>
      <c r="M961" s="34"/>
    </row>
    <row r="962" spans="1:13" x14ac:dyDescent="0.3">
      <c r="B962" s="13"/>
      <c r="C962" s="13"/>
      <c r="D962" s="13"/>
      <c r="E962" s="13"/>
      <c r="F962" s="13"/>
      <c r="G962" s="13"/>
      <c r="H962" s="13"/>
      <c r="I962" s="13"/>
      <c r="J962" s="13"/>
      <c r="K962" s="448"/>
      <c r="L962" s="448"/>
      <c r="M962" s="74"/>
    </row>
    <row r="963" spans="1:13" x14ac:dyDescent="0.3">
      <c r="A963" s="182"/>
      <c r="B963" s="13"/>
      <c r="C963" s="13"/>
      <c r="D963" s="13"/>
      <c r="E963" s="13"/>
      <c r="F963" s="13"/>
      <c r="G963" s="13"/>
      <c r="H963" s="13"/>
      <c r="I963" s="13"/>
      <c r="J963" s="13"/>
      <c r="K963" s="448"/>
      <c r="L963" s="448"/>
      <c r="M963" s="34"/>
    </row>
    <row r="964" spans="1:13" x14ac:dyDescent="0.3">
      <c r="B964" s="6"/>
      <c r="C964" s="6"/>
      <c r="D964" s="6"/>
      <c r="E964" s="6"/>
      <c r="F964" s="6"/>
      <c r="G964" s="6"/>
      <c r="H964" s="6"/>
      <c r="I964" s="6"/>
      <c r="J964" s="6"/>
      <c r="K964" s="452"/>
      <c r="L964" s="452"/>
      <c r="M964" s="34"/>
    </row>
    <row r="965" spans="1:13" x14ac:dyDescent="0.3">
      <c r="A965" s="182"/>
      <c r="K965" s="452"/>
      <c r="L965" s="452"/>
      <c r="M965" s="34"/>
    </row>
    <row r="966" spans="1:13" x14ac:dyDescent="0.3">
      <c r="A966" s="182"/>
      <c r="B966" s="182"/>
      <c r="C966" s="183"/>
      <c r="D966" s="184"/>
      <c r="E966" s="184"/>
      <c r="K966" s="453"/>
      <c r="L966" s="453"/>
      <c r="M966" s="34"/>
    </row>
    <row r="967" spans="1:13" x14ac:dyDescent="0.3">
      <c r="A967" s="182"/>
      <c r="B967" s="185"/>
      <c r="C967" s="184"/>
      <c r="D967" s="186"/>
      <c r="E967" s="184"/>
      <c r="F967" s="184"/>
      <c r="G967" s="184"/>
      <c r="H967" s="184"/>
      <c r="I967" s="187"/>
      <c r="K967" s="452"/>
      <c r="L967" s="452"/>
      <c r="M967" s="34"/>
    </row>
    <row r="968" spans="1:13" x14ac:dyDescent="0.3">
      <c r="A968" s="160"/>
      <c r="B968" s="182"/>
      <c r="C968" s="183"/>
      <c r="D968" s="188"/>
      <c r="E968" s="188"/>
      <c r="I968" s="189"/>
      <c r="K968" s="453"/>
      <c r="L968" s="453"/>
      <c r="M968" s="34"/>
    </row>
    <row r="969" spans="1:13" x14ac:dyDescent="0.3">
      <c r="A969" s="161"/>
      <c r="B969" s="185"/>
      <c r="C969" s="184"/>
      <c r="D969" s="184"/>
      <c r="E969" s="184"/>
      <c r="F969" s="184"/>
      <c r="G969" s="184"/>
      <c r="H969" s="184"/>
      <c r="I969" s="189"/>
      <c r="K969" s="452"/>
      <c r="L969" s="452"/>
      <c r="M969" s="34"/>
    </row>
    <row r="970" spans="1:13" ht="14.4" x14ac:dyDescent="0.3">
      <c r="A970" s="162"/>
      <c r="B970" s="190"/>
      <c r="C970" s="187"/>
      <c r="D970" s="191"/>
      <c r="E970" s="192"/>
      <c r="F970" s="128"/>
      <c r="G970" s="128"/>
      <c r="H970" s="128"/>
      <c r="I970" s="189"/>
      <c r="K970" s="452"/>
      <c r="L970" s="452"/>
      <c r="M970" s="34"/>
    </row>
    <row r="971" spans="1:13" ht="14.4" x14ac:dyDescent="0.3">
      <c r="A971" s="163"/>
      <c r="B971" s="164"/>
      <c r="C971" s="165"/>
      <c r="D971" s="166"/>
      <c r="E971" s="166"/>
      <c r="F971" s="128"/>
      <c r="G971" s="128"/>
      <c r="H971" s="128"/>
      <c r="I971" s="167"/>
      <c r="K971" s="452"/>
      <c r="L971" s="452"/>
      <c r="M971" s="34"/>
    </row>
    <row r="972" spans="1:13" ht="14.4" x14ac:dyDescent="0.3">
      <c r="A972" s="168"/>
      <c r="B972" s="169"/>
      <c r="C972" s="165"/>
      <c r="D972" s="170"/>
      <c r="E972" s="128"/>
      <c r="F972" s="128"/>
      <c r="G972" s="128"/>
      <c r="H972" s="128"/>
      <c r="I972" s="167"/>
      <c r="J972" s="6"/>
      <c r="K972" s="452"/>
      <c r="L972" s="452"/>
      <c r="M972" s="74"/>
    </row>
    <row r="973" spans="1:13" ht="14.4" x14ac:dyDescent="0.3">
      <c r="A973" s="160"/>
      <c r="B973" s="169"/>
      <c r="C973" s="165"/>
      <c r="D973" s="170"/>
      <c r="E973" s="128"/>
      <c r="F973" s="128"/>
      <c r="G973" s="128"/>
      <c r="H973" s="128"/>
      <c r="I973" s="167"/>
      <c r="J973" s="6"/>
      <c r="K973" s="452"/>
      <c r="L973" s="452"/>
      <c r="M973" s="6"/>
    </row>
    <row r="974" spans="1:13" ht="14.4" x14ac:dyDescent="0.3">
      <c r="B974" s="169"/>
      <c r="C974" s="128"/>
      <c r="D974" s="170"/>
      <c r="E974" s="128"/>
      <c r="F974" s="128"/>
      <c r="G974" s="128"/>
      <c r="H974" s="128"/>
      <c r="I974" s="167"/>
      <c r="K974" s="452"/>
      <c r="L974" s="452"/>
      <c r="M974" s="6"/>
    </row>
    <row r="975" spans="1:13" ht="14.4" x14ac:dyDescent="0.3">
      <c r="A975" s="6"/>
      <c r="B975" s="169"/>
      <c r="C975" s="128"/>
      <c r="D975" s="128"/>
      <c r="E975" s="128"/>
      <c r="F975" s="128"/>
      <c r="G975" s="128"/>
      <c r="H975" s="128"/>
      <c r="I975" s="167"/>
      <c r="K975" s="452"/>
      <c r="L975" s="452"/>
      <c r="M975" s="6"/>
    </row>
    <row r="976" spans="1:13" x14ac:dyDescent="0.3">
      <c r="A976" s="6"/>
      <c r="B976" s="40"/>
      <c r="C976" s="160"/>
      <c r="D976" s="40"/>
      <c r="K976" s="452"/>
      <c r="L976" s="452"/>
      <c r="M976" s="6"/>
    </row>
    <row r="977" spans="1:13" x14ac:dyDescent="0.3">
      <c r="B977" s="171"/>
      <c r="C977" s="160"/>
      <c r="D977" s="40"/>
      <c r="E977" s="172"/>
      <c r="K977" s="452"/>
      <c r="L977" s="452"/>
      <c r="M977" s="124"/>
    </row>
    <row r="978" spans="1:13" x14ac:dyDescent="0.3">
      <c r="B978" s="6"/>
      <c r="C978" s="6"/>
      <c r="D978" s="6"/>
      <c r="E978" s="6"/>
      <c r="F978" s="6"/>
      <c r="G978" s="445"/>
      <c r="H978" s="445"/>
      <c r="I978" s="445"/>
      <c r="J978" s="445"/>
      <c r="K978" s="453"/>
      <c r="L978" s="453"/>
      <c r="M978" s="173"/>
    </row>
    <row r="979" spans="1:13" x14ac:dyDescent="0.3">
      <c r="B979" s="6"/>
      <c r="C979" s="6"/>
      <c r="D979" s="6"/>
      <c r="E979" s="6"/>
      <c r="F979" s="6"/>
      <c r="G979" s="444"/>
      <c r="H979" s="444"/>
      <c r="I979" s="444"/>
      <c r="J979" s="444"/>
      <c r="K979" s="444"/>
      <c r="L979" s="444"/>
      <c r="M979" s="173"/>
    </row>
    <row r="980" spans="1:13" x14ac:dyDescent="0.3">
      <c r="A980" s="124"/>
      <c r="B980" s="449"/>
      <c r="C980" s="449"/>
      <c r="D980" s="449"/>
      <c r="E980" s="449"/>
      <c r="F980" s="449"/>
      <c r="G980" s="444"/>
      <c r="H980" s="444"/>
      <c r="I980" s="444"/>
      <c r="J980" s="444"/>
      <c r="K980" s="444"/>
      <c r="L980" s="444"/>
      <c r="M980" s="174"/>
    </row>
    <row r="981" spans="1:13" x14ac:dyDescent="0.3">
      <c r="A981" s="124"/>
      <c r="B981" s="449"/>
      <c r="C981" s="449"/>
      <c r="D981" s="449"/>
      <c r="E981" s="449"/>
      <c r="F981" s="449"/>
      <c r="G981" s="444"/>
      <c r="H981" s="444"/>
      <c r="I981" s="444"/>
      <c r="J981" s="444"/>
      <c r="K981" s="444"/>
      <c r="L981" s="444"/>
      <c r="M981" s="136"/>
    </row>
    <row r="982" spans="1:13" x14ac:dyDescent="0.3">
      <c r="A982" s="124"/>
      <c r="B982" s="449"/>
      <c r="C982" s="449"/>
      <c r="D982" s="449"/>
      <c r="E982" s="449"/>
      <c r="F982" s="449"/>
      <c r="G982" s="444"/>
      <c r="H982" s="444"/>
      <c r="I982" s="444"/>
      <c r="J982" s="444"/>
      <c r="K982" s="444"/>
      <c r="L982" s="444"/>
      <c r="M982" s="6"/>
    </row>
    <row r="983" spans="1:13" x14ac:dyDescent="0.3">
      <c r="A983" s="124"/>
      <c r="B983" s="124"/>
      <c r="C983" s="124"/>
      <c r="D983" s="124"/>
      <c r="E983" s="124"/>
      <c r="F983" s="124"/>
      <c r="G983" s="449"/>
      <c r="H983" s="449"/>
      <c r="I983" s="449"/>
      <c r="J983" s="449"/>
      <c r="K983" s="449"/>
      <c r="L983" s="449"/>
    </row>
    <row r="984" spans="1:13" x14ac:dyDescent="0.3">
      <c r="A984" s="6"/>
      <c r="B984" s="124"/>
      <c r="C984" s="124"/>
      <c r="D984" s="124"/>
      <c r="E984" s="124"/>
      <c r="F984" s="124"/>
      <c r="G984" s="175"/>
      <c r="H984" s="175"/>
      <c r="I984" s="175"/>
      <c r="J984" s="173"/>
      <c r="K984" s="173"/>
      <c r="L984" s="173"/>
    </row>
    <row r="985" spans="1:13" x14ac:dyDescent="0.3">
      <c r="A985" s="6"/>
      <c r="B985" s="124"/>
      <c r="C985" s="124"/>
      <c r="D985" s="124"/>
      <c r="E985" s="124"/>
      <c r="F985" s="124"/>
      <c r="G985" s="175"/>
      <c r="H985" s="175"/>
      <c r="I985" s="175"/>
      <c r="J985" s="173"/>
      <c r="K985" s="173"/>
      <c r="L985" s="173"/>
      <c r="M985" s="6"/>
    </row>
    <row r="986" spans="1:13" x14ac:dyDescent="0.3">
      <c r="A986" s="124"/>
      <c r="B986" s="124"/>
      <c r="C986" s="124"/>
      <c r="D986" s="124"/>
      <c r="E986" s="124"/>
      <c r="F986" s="124"/>
      <c r="G986" s="450"/>
      <c r="H986" s="450"/>
      <c r="I986" s="450"/>
      <c r="J986" s="450"/>
      <c r="K986" s="450"/>
      <c r="L986" s="450"/>
      <c r="M986" s="6"/>
    </row>
    <row r="987" spans="1:13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451"/>
      <c r="K987" s="451"/>
      <c r="L987" s="451"/>
      <c r="M987" s="6"/>
    </row>
    <row r="988" spans="1:13" x14ac:dyDescent="0.3">
      <c r="A988" s="124"/>
      <c r="B988" s="6"/>
      <c r="C988" s="6"/>
      <c r="D988" s="6"/>
      <c r="E988" s="112"/>
      <c r="F988" s="112"/>
      <c r="J988" s="444"/>
      <c r="K988" s="444"/>
      <c r="L988" s="444"/>
      <c r="M988" s="6"/>
    </row>
    <row r="989" spans="1:13" x14ac:dyDescent="0.3">
      <c r="A989" s="6"/>
      <c r="B989" s="124"/>
      <c r="C989" s="124"/>
      <c r="D989" s="124"/>
      <c r="E989" s="112"/>
      <c r="F989" s="112"/>
      <c r="M989" s="6"/>
    </row>
    <row r="990" spans="1:13" x14ac:dyDescent="0.3">
      <c r="A990" s="76"/>
      <c r="B990" s="6"/>
      <c r="C990" s="6"/>
      <c r="D990" s="6"/>
      <c r="E990" s="112"/>
      <c r="F990" s="112"/>
    </row>
    <row r="991" spans="1:13" x14ac:dyDescent="0.3">
      <c r="A991" s="176"/>
      <c r="B991" s="124"/>
      <c r="C991" s="124"/>
      <c r="D991" s="124"/>
      <c r="E991" s="112"/>
      <c r="F991" s="112"/>
      <c r="J991" s="444"/>
      <c r="K991" s="444"/>
      <c r="L991" s="444"/>
    </row>
    <row r="992" spans="1:13" x14ac:dyDescent="0.3">
      <c r="A992" s="176"/>
      <c r="B992" s="6"/>
      <c r="C992" s="6"/>
      <c r="D992" s="6"/>
      <c r="E992" s="112"/>
      <c r="F992" s="112"/>
      <c r="J992" s="444"/>
      <c r="K992" s="444"/>
      <c r="L992" s="444"/>
      <c r="M992" s="159"/>
    </row>
    <row r="993" spans="1:13" x14ac:dyDescent="0.3">
      <c r="B993" s="76"/>
      <c r="C993" s="76"/>
      <c r="D993" s="76"/>
      <c r="E993" s="76"/>
      <c r="F993" s="76"/>
      <c r="G993" s="76"/>
      <c r="H993" s="76"/>
      <c r="I993" s="76"/>
      <c r="K993" s="444"/>
      <c r="L993" s="444"/>
      <c r="M993" s="13"/>
    </row>
    <row r="994" spans="1:13" x14ac:dyDescent="0.3">
      <c r="A994" s="6"/>
      <c r="B994" s="176"/>
      <c r="C994" s="176"/>
      <c r="D994" s="176"/>
      <c r="E994" s="176"/>
      <c r="F994" s="176"/>
      <c r="G994" s="176"/>
      <c r="H994" s="176"/>
      <c r="I994" s="176"/>
      <c r="K994" s="447"/>
      <c r="L994" s="444"/>
      <c r="M994" s="13"/>
    </row>
    <row r="995" spans="1:13" x14ac:dyDescent="0.3">
      <c r="A995" s="159"/>
      <c r="B995" s="176"/>
      <c r="C995" s="176"/>
      <c r="D995" s="176"/>
      <c r="E995" s="176"/>
      <c r="F995" s="176"/>
      <c r="G995" s="176"/>
      <c r="H995" s="176"/>
      <c r="I995" s="176"/>
      <c r="J995" s="444"/>
      <c r="K995" s="444"/>
      <c r="L995" s="444"/>
      <c r="M995" s="112"/>
    </row>
    <row r="996" spans="1:13" x14ac:dyDescent="0.3">
      <c r="A996" s="136"/>
      <c r="M996" s="178"/>
    </row>
    <row r="997" spans="1:13" x14ac:dyDescent="0.3">
      <c r="A997" s="136"/>
      <c r="B997" s="6"/>
      <c r="C997" s="6"/>
      <c r="D997" s="6"/>
      <c r="E997" s="6"/>
      <c r="F997" s="6"/>
      <c r="G997" s="6"/>
      <c r="H997" s="6"/>
      <c r="I997" s="6"/>
      <c r="J997" s="6"/>
      <c r="K997" s="6"/>
      <c r="M997" s="178"/>
    </row>
    <row r="998" spans="1:13" x14ac:dyDescent="0.3">
      <c r="A998" s="52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12"/>
    </row>
    <row r="999" spans="1:13" x14ac:dyDescent="0.3">
      <c r="A999" s="52"/>
      <c r="B999" s="448"/>
      <c r="C999" s="448"/>
      <c r="D999" s="448"/>
      <c r="E999" s="448"/>
      <c r="F999" s="448"/>
      <c r="G999" s="448"/>
      <c r="H999" s="445"/>
      <c r="I999" s="445"/>
      <c r="J999" s="448"/>
      <c r="K999" s="448"/>
      <c r="L999" s="448"/>
      <c r="M999" s="112"/>
    </row>
    <row r="1000" spans="1:13" x14ac:dyDescent="0.3">
      <c r="A1000" s="52"/>
      <c r="B1000" s="448"/>
      <c r="C1000" s="448"/>
      <c r="D1000" s="448"/>
      <c r="E1000" s="448"/>
      <c r="F1000" s="448"/>
      <c r="G1000" s="448"/>
      <c r="H1000" s="445"/>
      <c r="I1000" s="445"/>
      <c r="J1000" s="448"/>
      <c r="K1000" s="448"/>
      <c r="L1000" s="448"/>
      <c r="M1000" s="112"/>
    </row>
    <row r="1001" spans="1:13" x14ac:dyDescent="0.3">
      <c r="B1001" s="444"/>
      <c r="C1001" s="444"/>
      <c r="D1001" s="444"/>
      <c r="E1001" s="444"/>
      <c r="F1001" s="444"/>
      <c r="G1001" s="444"/>
      <c r="H1001" s="445"/>
      <c r="I1001" s="445"/>
      <c r="K1001" s="178"/>
      <c r="L1001" s="112"/>
      <c r="M1001" s="112"/>
    </row>
    <row r="1002" spans="1:13" x14ac:dyDescent="0.3">
      <c r="B1002" s="444"/>
      <c r="C1002" s="444"/>
      <c r="D1002" s="444"/>
      <c r="E1002" s="444"/>
      <c r="F1002" s="444"/>
      <c r="G1002" s="444"/>
      <c r="H1002" s="445"/>
      <c r="I1002" s="445"/>
      <c r="K1002" s="178"/>
      <c r="L1002" s="178"/>
      <c r="M1002" s="112"/>
    </row>
    <row r="1003" spans="1:13" x14ac:dyDescent="0.3">
      <c r="B1003" s="444"/>
      <c r="C1003" s="444"/>
      <c r="D1003" s="444"/>
      <c r="E1003" s="444"/>
      <c r="F1003" s="444"/>
      <c r="G1003" s="444"/>
      <c r="H1003" s="445"/>
      <c r="I1003" s="445"/>
      <c r="K1003" s="112"/>
      <c r="L1003" s="178"/>
      <c r="M1003" s="112"/>
    </row>
    <row r="1004" spans="1:13" x14ac:dyDescent="0.3">
      <c r="B1004" s="444"/>
      <c r="C1004" s="444"/>
      <c r="D1004" s="444"/>
      <c r="E1004" s="444"/>
      <c r="F1004" s="444"/>
      <c r="G1004" s="444"/>
      <c r="H1004" s="444"/>
      <c r="I1004" s="444"/>
      <c r="K1004" s="112"/>
      <c r="L1004" s="112"/>
      <c r="M1004" s="178"/>
    </row>
    <row r="1005" spans="1:13" x14ac:dyDescent="0.3">
      <c r="B1005" s="444"/>
      <c r="C1005" s="444"/>
      <c r="D1005" s="444"/>
      <c r="E1005" s="444"/>
      <c r="F1005" s="444"/>
      <c r="G1005" s="444"/>
      <c r="H1005" s="444"/>
      <c r="I1005" s="444"/>
      <c r="K1005" s="112"/>
      <c r="L1005" s="112"/>
      <c r="M1005" s="76"/>
    </row>
    <row r="1006" spans="1:13" x14ac:dyDescent="0.3">
      <c r="B1006" s="444"/>
      <c r="C1006" s="444"/>
      <c r="D1006" s="444"/>
      <c r="E1006" s="444"/>
      <c r="F1006" s="444"/>
      <c r="G1006" s="444"/>
      <c r="H1006" s="444"/>
      <c r="I1006" s="444"/>
      <c r="K1006" s="112"/>
      <c r="L1006" s="112"/>
      <c r="M1006" s="159"/>
    </row>
    <row r="1007" spans="1:13" x14ac:dyDescent="0.3">
      <c r="B1007" s="444"/>
      <c r="C1007" s="444"/>
      <c r="D1007" s="444"/>
      <c r="E1007" s="444"/>
      <c r="F1007" s="444"/>
      <c r="G1007" s="444"/>
      <c r="H1007" s="444"/>
      <c r="I1007" s="444"/>
      <c r="K1007" s="112"/>
      <c r="L1007" s="112"/>
    </row>
    <row r="1008" spans="1:13" x14ac:dyDescent="0.3">
      <c r="B1008" s="444"/>
      <c r="C1008" s="444"/>
      <c r="D1008" s="444"/>
      <c r="E1008" s="444"/>
      <c r="F1008" s="444"/>
      <c r="G1008" s="444"/>
      <c r="H1008" s="444"/>
      <c r="I1008" s="444"/>
      <c r="K1008" s="112"/>
      <c r="L1008" s="112"/>
      <c r="M1008" s="6"/>
    </row>
    <row r="1009" spans="1:13" x14ac:dyDescent="0.3">
      <c r="A1009" s="159"/>
      <c r="B1009" s="444"/>
      <c r="C1009" s="444"/>
      <c r="D1009" s="444"/>
      <c r="E1009" s="444"/>
      <c r="F1009" s="444"/>
      <c r="G1009" s="444"/>
      <c r="H1009" s="444"/>
      <c r="I1009" s="444"/>
      <c r="K1009" s="112"/>
      <c r="L1009" s="112"/>
      <c r="M1009" s="6"/>
    </row>
    <row r="1010" spans="1:13" x14ac:dyDescent="0.3">
      <c r="B1010" s="444"/>
      <c r="C1010" s="444"/>
      <c r="D1010" s="444"/>
      <c r="E1010" s="444"/>
      <c r="F1010" s="444"/>
      <c r="G1010" s="444"/>
      <c r="H1010" s="444"/>
      <c r="I1010" s="444"/>
      <c r="K1010" s="178"/>
      <c r="L1010" s="178"/>
      <c r="M1010" s="6"/>
    </row>
    <row r="1011" spans="1:13" x14ac:dyDescent="0.3">
      <c r="A1011" s="179"/>
      <c r="B1011" s="444"/>
      <c r="C1011" s="444"/>
      <c r="D1011" s="444"/>
      <c r="E1011" s="444"/>
      <c r="F1011" s="444"/>
      <c r="G1011" s="444"/>
      <c r="J1011" s="445"/>
      <c r="K1011" s="445"/>
      <c r="L1011" s="445"/>
      <c r="M1011" s="76"/>
    </row>
    <row r="1012" spans="1:13" x14ac:dyDescent="0.3"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6"/>
    </row>
    <row r="1013" spans="1:13" ht="23.4" x14ac:dyDescent="0.45">
      <c r="A1013" s="52"/>
      <c r="B1013" s="446"/>
      <c r="C1013" s="446"/>
      <c r="D1013" s="446"/>
      <c r="E1013" s="446"/>
      <c r="F1013" s="446"/>
      <c r="G1013" s="446"/>
      <c r="H1013" s="446"/>
      <c r="I1013" s="446"/>
      <c r="J1013" s="52"/>
      <c r="M1013" s="28"/>
    </row>
    <row r="1014" spans="1:13" x14ac:dyDescent="0.3">
      <c r="B1014" s="444"/>
      <c r="C1014" s="444"/>
      <c r="D1014" s="444"/>
      <c r="E1014" s="444"/>
      <c r="F1014" s="444"/>
      <c r="G1014" s="444"/>
      <c r="H1014" s="444"/>
      <c r="I1014" s="444"/>
      <c r="J1014" s="444"/>
      <c r="K1014" s="444"/>
      <c r="L1014" s="444"/>
      <c r="M1014" s="13"/>
    </row>
    <row r="1015" spans="1:13" x14ac:dyDescent="0.3">
      <c r="B1015" s="454"/>
      <c r="C1015" s="454"/>
      <c r="D1015" s="454"/>
      <c r="E1015" s="454"/>
      <c r="K1015" s="444"/>
      <c r="L1015" s="444"/>
      <c r="M1015" s="13"/>
    </row>
    <row r="1016" spans="1:13" x14ac:dyDescent="0.3">
      <c r="A1016" s="52"/>
      <c r="B1016" s="454"/>
      <c r="C1016" s="454"/>
      <c r="D1016" s="454"/>
      <c r="E1016" s="454"/>
      <c r="F1016" s="52"/>
      <c r="G1016" s="52"/>
      <c r="H1016" s="52"/>
      <c r="I1016" s="52"/>
      <c r="J1016" s="52"/>
      <c r="K1016" s="444"/>
      <c r="L1016" s="444"/>
      <c r="M1016" s="34"/>
    </row>
    <row r="1017" spans="1:13" x14ac:dyDescent="0.3">
      <c r="A1017" s="13"/>
      <c r="B1017" s="455"/>
      <c r="C1017" s="455"/>
      <c r="D1017" s="455"/>
      <c r="E1017" s="455"/>
      <c r="F1017" s="445"/>
      <c r="G1017" s="445"/>
      <c r="H1017" s="445"/>
      <c r="I1017" s="445"/>
      <c r="J1017" s="445"/>
      <c r="K1017" s="445"/>
      <c r="L1017" s="445"/>
      <c r="M1017" s="34"/>
    </row>
    <row r="1018" spans="1:13" x14ac:dyDescent="0.3">
      <c r="A1018" s="13"/>
      <c r="K1018" s="6"/>
      <c r="L1018" s="6"/>
      <c r="M1018" s="74"/>
    </row>
    <row r="1019" spans="1:13" ht="23.4" x14ac:dyDescent="0.45">
      <c r="A1019" s="6"/>
      <c r="B1019" s="52"/>
      <c r="C1019" s="52"/>
      <c r="D1019" s="52"/>
      <c r="E1019" s="52"/>
      <c r="F1019" s="456"/>
      <c r="G1019" s="456"/>
      <c r="H1019" s="456"/>
      <c r="I1019" s="456"/>
      <c r="J1019" s="456"/>
      <c r="K1019" s="181"/>
      <c r="L1019" s="28"/>
      <c r="M1019" s="34"/>
    </row>
    <row r="1020" spans="1:13" x14ac:dyDescent="0.3">
      <c r="B1020" s="13"/>
      <c r="C1020" s="13"/>
      <c r="D1020" s="13"/>
      <c r="E1020" s="13"/>
      <c r="F1020" s="13"/>
      <c r="G1020" s="13"/>
      <c r="H1020" s="13"/>
      <c r="I1020" s="13"/>
      <c r="J1020" s="13"/>
      <c r="K1020" s="448"/>
      <c r="L1020" s="448"/>
      <c r="M1020" s="74"/>
    </row>
    <row r="1021" spans="1:13" x14ac:dyDescent="0.3">
      <c r="A1021" s="182"/>
      <c r="B1021" s="13"/>
      <c r="C1021" s="13"/>
      <c r="D1021" s="13"/>
      <c r="E1021" s="13"/>
      <c r="F1021" s="13"/>
      <c r="G1021" s="13"/>
      <c r="H1021" s="13"/>
      <c r="I1021" s="13"/>
      <c r="J1021" s="13"/>
      <c r="K1021" s="448"/>
      <c r="L1021" s="448"/>
      <c r="M1021" s="34"/>
    </row>
    <row r="1022" spans="1:13" x14ac:dyDescent="0.3">
      <c r="B1022" s="6"/>
      <c r="C1022" s="6"/>
      <c r="D1022" s="6"/>
      <c r="E1022" s="6"/>
      <c r="F1022" s="6"/>
      <c r="G1022" s="6"/>
      <c r="H1022" s="6"/>
      <c r="I1022" s="6"/>
      <c r="J1022" s="6"/>
      <c r="K1022" s="452"/>
      <c r="L1022" s="452"/>
      <c r="M1022" s="34"/>
    </row>
    <row r="1023" spans="1:13" x14ac:dyDescent="0.3">
      <c r="A1023" s="182"/>
      <c r="K1023" s="452"/>
      <c r="L1023" s="452"/>
      <c r="M1023" s="34"/>
    </row>
    <row r="1024" spans="1:13" x14ac:dyDescent="0.3">
      <c r="A1024" s="182"/>
      <c r="B1024" s="182"/>
      <c r="C1024" s="183"/>
      <c r="D1024" s="184"/>
      <c r="E1024" s="184"/>
      <c r="K1024" s="453"/>
      <c r="L1024" s="453"/>
      <c r="M1024" s="34"/>
    </row>
    <row r="1025" spans="1:13" x14ac:dyDescent="0.3">
      <c r="A1025" s="182"/>
      <c r="B1025" s="185"/>
      <c r="C1025" s="184"/>
      <c r="D1025" s="186"/>
      <c r="E1025" s="184"/>
      <c r="F1025" s="184"/>
      <c r="G1025" s="184"/>
      <c r="H1025" s="184"/>
      <c r="I1025" s="187"/>
      <c r="K1025" s="452"/>
      <c r="L1025" s="452"/>
      <c r="M1025" s="34"/>
    </row>
    <row r="1026" spans="1:13" x14ac:dyDescent="0.3">
      <c r="A1026" s="160"/>
      <c r="B1026" s="182"/>
      <c r="C1026" s="183"/>
      <c r="D1026" s="188"/>
      <c r="E1026" s="188"/>
      <c r="I1026" s="189"/>
      <c r="K1026" s="453"/>
      <c r="L1026" s="453"/>
      <c r="M1026" s="34"/>
    </row>
    <row r="1027" spans="1:13" x14ac:dyDescent="0.3">
      <c r="A1027" s="161"/>
      <c r="B1027" s="185"/>
      <c r="C1027" s="184"/>
      <c r="D1027" s="184"/>
      <c r="E1027" s="184"/>
      <c r="F1027" s="184"/>
      <c r="G1027" s="184"/>
      <c r="H1027" s="184"/>
      <c r="I1027" s="189"/>
      <c r="K1027" s="452"/>
      <c r="L1027" s="452"/>
      <c r="M1027" s="34"/>
    </row>
    <row r="1028" spans="1:13" ht="14.4" x14ac:dyDescent="0.3">
      <c r="A1028" s="162"/>
      <c r="B1028" s="190"/>
      <c r="C1028" s="187"/>
      <c r="D1028" s="191"/>
      <c r="E1028" s="192"/>
      <c r="F1028" s="128"/>
      <c r="G1028" s="128"/>
      <c r="H1028" s="128"/>
      <c r="I1028" s="189"/>
      <c r="K1028" s="452"/>
      <c r="L1028" s="452"/>
      <c r="M1028" s="34"/>
    </row>
    <row r="1029" spans="1:13" ht="14.4" x14ac:dyDescent="0.3">
      <c r="A1029" s="163"/>
      <c r="B1029" s="164"/>
      <c r="C1029" s="165"/>
      <c r="D1029" s="166"/>
      <c r="E1029" s="166"/>
      <c r="F1029" s="128"/>
      <c r="G1029" s="128"/>
      <c r="H1029" s="128"/>
      <c r="I1029" s="167"/>
      <c r="K1029" s="452"/>
      <c r="L1029" s="452"/>
      <c r="M1029" s="34"/>
    </row>
    <row r="1030" spans="1:13" ht="14.4" x14ac:dyDescent="0.3">
      <c r="A1030" s="168"/>
      <c r="B1030" s="169"/>
      <c r="C1030" s="165"/>
      <c r="D1030" s="170"/>
      <c r="E1030" s="128"/>
      <c r="F1030" s="128"/>
      <c r="G1030" s="128"/>
      <c r="H1030" s="128"/>
      <c r="I1030" s="167"/>
      <c r="J1030" s="6"/>
      <c r="K1030" s="452"/>
      <c r="L1030" s="452"/>
      <c r="M1030" s="74"/>
    </row>
    <row r="1031" spans="1:13" ht="14.4" x14ac:dyDescent="0.3">
      <c r="A1031" s="160"/>
      <c r="B1031" s="169"/>
      <c r="C1031" s="165"/>
      <c r="D1031" s="170"/>
      <c r="E1031" s="128"/>
      <c r="F1031" s="128"/>
      <c r="G1031" s="128"/>
      <c r="H1031" s="128"/>
      <c r="I1031" s="167"/>
      <c r="J1031" s="6"/>
      <c r="K1031" s="452"/>
      <c r="L1031" s="452"/>
      <c r="M1031" s="6"/>
    </row>
    <row r="1032" spans="1:13" ht="14.4" x14ac:dyDescent="0.3">
      <c r="B1032" s="169"/>
      <c r="C1032" s="128"/>
      <c r="D1032" s="170"/>
      <c r="E1032" s="128"/>
      <c r="F1032" s="128"/>
      <c r="G1032" s="128"/>
      <c r="H1032" s="128"/>
      <c r="I1032" s="167"/>
      <c r="K1032" s="452"/>
      <c r="L1032" s="452"/>
      <c r="M1032" s="6"/>
    </row>
    <row r="1033" spans="1:13" ht="14.4" x14ac:dyDescent="0.3">
      <c r="A1033" s="6"/>
      <c r="B1033" s="169"/>
      <c r="C1033" s="128"/>
      <c r="D1033" s="128"/>
      <c r="E1033" s="128"/>
      <c r="F1033" s="128"/>
      <c r="G1033" s="128"/>
      <c r="H1033" s="128"/>
      <c r="I1033" s="167"/>
      <c r="K1033" s="452"/>
      <c r="L1033" s="452"/>
      <c r="M1033" s="6"/>
    </row>
    <row r="1034" spans="1:13" x14ac:dyDescent="0.3">
      <c r="A1034" s="6"/>
      <c r="B1034" s="40"/>
      <c r="C1034" s="160"/>
      <c r="D1034" s="40"/>
      <c r="K1034" s="452"/>
      <c r="L1034" s="452"/>
      <c r="M1034" s="6"/>
    </row>
    <row r="1035" spans="1:13" x14ac:dyDescent="0.3">
      <c r="B1035" s="171"/>
      <c r="C1035" s="160"/>
      <c r="D1035" s="40"/>
      <c r="E1035" s="172"/>
      <c r="K1035" s="452"/>
      <c r="L1035" s="452"/>
      <c r="M1035" s="124"/>
    </row>
    <row r="1036" spans="1:13" x14ac:dyDescent="0.3">
      <c r="B1036" s="6"/>
      <c r="C1036" s="6"/>
      <c r="D1036" s="6"/>
      <c r="E1036" s="6"/>
      <c r="F1036" s="6"/>
      <c r="G1036" s="445"/>
      <c r="H1036" s="445"/>
      <c r="I1036" s="445"/>
      <c r="J1036" s="445"/>
      <c r="K1036" s="453"/>
      <c r="L1036" s="453"/>
      <c r="M1036" s="173"/>
    </row>
    <row r="1037" spans="1:13" x14ac:dyDescent="0.3">
      <c r="B1037" s="6"/>
      <c r="C1037" s="6"/>
      <c r="D1037" s="6"/>
      <c r="E1037" s="6"/>
      <c r="F1037" s="6"/>
      <c r="G1037" s="444"/>
      <c r="H1037" s="444"/>
      <c r="I1037" s="444"/>
      <c r="J1037" s="444"/>
      <c r="K1037" s="444"/>
      <c r="L1037" s="444"/>
      <c r="M1037" s="173"/>
    </row>
    <row r="1038" spans="1:13" x14ac:dyDescent="0.3">
      <c r="A1038" s="124"/>
      <c r="B1038" s="449"/>
      <c r="C1038" s="449"/>
      <c r="D1038" s="449"/>
      <c r="E1038" s="449"/>
      <c r="F1038" s="449"/>
      <c r="G1038" s="444"/>
      <c r="H1038" s="444"/>
      <c r="I1038" s="444"/>
      <c r="J1038" s="444"/>
      <c r="K1038" s="444"/>
      <c r="L1038" s="444"/>
      <c r="M1038" s="174"/>
    </row>
    <row r="1039" spans="1:13" x14ac:dyDescent="0.3">
      <c r="A1039" s="124"/>
      <c r="B1039" s="449"/>
      <c r="C1039" s="449"/>
      <c r="D1039" s="449"/>
      <c r="E1039" s="449"/>
      <c r="F1039" s="449"/>
      <c r="G1039" s="444"/>
      <c r="H1039" s="444"/>
      <c r="I1039" s="444"/>
      <c r="J1039" s="444"/>
      <c r="K1039" s="444"/>
      <c r="L1039" s="444"/>
      <c r="M1039" s="136"/>
    </row>
    <row r="1040" spans="1:13" x14ac:dyDescent="0.3">
      <c r="A1040" s="124"/>
      <c r="B1040" s="449"/>
      <c r="C1040" s="449"/>
      <c r="D1040" s="449"/>
      <c r="E1040" s="449"/>
      <c r="F1040" s="449"/>
      <c r="G1040" s="444"/>
      <c r="H1040" s="444"/>
      <c r="I1040" s="444"/>
      <c r="J1040" s="444"/>
      <c r="K1040" s="444"/>
      <c r="L1040" s="444"/>
      <c r="M1040" s="6"/>
    </row>
    <row r="1041" spans="1:13" x14ac:dyDescent="0.3">
      <c r="A1041" s="124"/>
      <c r="B1041" s="124"/>
      <c r="C1041" s="124"/>
      <c r="D1041" s="124"/>
      <c r="E1041" s="124"/>
      <c r="F1041" s="124"/>
      <c r="G1041" s="449"/>
      <c r="H1041" s="449"/>
      <c r="I1041" s="449"/>
      <c r="J1041" s="449"/>
      <c r="K1041" s="449"/>
      <c r="L1041" s="449"/>
    </row>
    <row r="1042" spans="1:13" x14ac:dyDescent="0.3">
      <c r="A1042" s="6"/>
      <c r="B1042" s="124"/>
      <c r="C1042" s="124"/>
      <c r="D1042" s="124"/>
      <c r="E1042" s="124"/>
      <c r="F1042" s="124"/>
      <c r="G1042" s="175"/>
      <c r="H1042" s="175"/>
      <c r="I1042" s="175"/>
      <c r="J1042" s="173"/>
      <c r="K1042" s="173"/>
      <c r="L1042" s="173"/>
    </row>
    <row r="1043" spans="1:13" x14ac:dyDescent="0.3">
      <c r="A1043" s="6"/>
      <c r="B1043" s="124"/>
      <c r="C1043" s="124"/>
      <c r="D1043" s="124"/>
      <c r="E1043" s="124"/>
      <c r="F1043" s="124"/>
      <c r="G1043" s="175"/>
      <c r="H1043" s="175"/>
      <c r="I1043" s="175"/>
      <c r="J1043" s="173"/>
      <c r="K1043" s="173"/>
      <c r="L1043" s="173"/>
      <c r="M1043" s="6"/>
    </row>
    <row r="1044" spans="1:13" x14ac:dyDescent="0.3">
      <c r="A1044" s="124"/>
      <c r="B1044" s="124"/>
      <c r="C1044" s="124"/>
      <c r="D1044" s="124"/>
      <c r="E1044" s="124"/>
      <c r="F1044" s="124"/>
      <c r="G1044" s="450"/>
      <c r="H1044" s="450"/>
      <c r="I1044" s="450"/>
      <c r="J1044" s="450"/>
      <c r="K1044" s="450"/>
      <c r="L1044" s="450"/>
      <c r="M1044" s="6"/>
    </row>
    <row r="1045" spans="1:13" x14ac:dyDescent="0.3">
      <c r="A1045" s="6"/>
      <c r="B1045" s="6"/>
      <c r="C1045" s="6"/>
      <c r="D1045" s="6"/>
      <c r="E1045" s="6"/>
      <c r="F1045" s="6"/>
      <c r="G1045" s="6"/>
      <c r="H1045" s="6"/>
      <c r="I1045" s="6"/>
      <c r="J1045" s="451"/>
      <c r="K1045" s="451"/>
      <c r="L1045" s="451"/>
      <c r="M1045" s="6"/>
    </row>
    <row r="1046" spans="1:13" x14ac:dyDescent="0.3">
      <c r="A1046" s="124"/>
      <c r="B1046" s="6"/>
      <c r="C1046" s="6"/>
      <c r="D1046" s="6"/>
      <c r="E1046" s="112"/>
      <c r="F1046" s="112"/>
      <c r="J1046" s="444"/>
      <c r="K1046" s="444"/>
      <c r="L1046" s="444"/>
      <c r="M1046" s="6"/>
    </row>
    <row r="1047" spans="1:13" x14ac:dyDescent="0.3">
      <c r="A1047" s="6"/>
      <c r="B1047" s="124"/>
      <c r="C1047" s="124"/>
      <c r="D1047" s="124"/>
      <c r="E1047" s="112"/>
      <c r="F1047" s="112"/>
      <c r="M1047" s="6"/>
    </row>
    <row r="1048" spans="1:13" x14ac:dyDescent="0.3">
      <c r="A1048" s="76"/>
      <c r="B1048" s="6"/>
      <c r="C1048" s="6"/>
      <c r="D1048" s="6"/>
      <c r="E1048" s="112"/>
      <c r="F1048" s="112"/>
    </row>
    <row r="1049" spans="1:13" x14ac:dyDescent="0.3">
      <c r="A1049" s="176"/>
      <c r="B1049" s="124"/>
      <c r="C1049" s="124"/>
      <c r="D1049" s="124"/>
      <c r="E1049" s="112"/>
      <c r="F1049" s="112"/>
      <c r="J1049" s="444"/>
      <c r="K1049" s="444"/>
      <c r="L1049" s="444"/>
    </row>
    <row r="1050" spans="1:13" x14ac:dyDescent="0.3">
      <c r="A1050" s="176"/>
      <c r="B1050" s="6"/>
      <c r="C1050" s="6"/>
      <c r="D1050" s="6"/>
      <c r="E1050" s="112"/>
      <c r="F1050" s="112"/>
      <c r="J1050" s="444"/>
      <c r="K1050" s="444"/>
      <c r="L1050" s="444"/>
      <c r="M1050" s="159"/>
    </row>
    <row r="1051" spans="1:13" x14ac:dyDescent="0.3">
      <c r="B1051" s="76"/>
      <c r="C1051" s="76"/>
      <c r="D1051" s="76"/>
      <c r="E1051" s="76"/>
      <c r="F1051" s="76"/>
      <c r="G1051" s="76"/>
      <c r="H1051" s="76"/>
      <c r="I1051" s="76"/>
      <c r="K1051" s="444"/>
      <c r="L1051" s="444"/>
      <c r="M1051" s="13"/>
    </row>
    <row r="1052" spans="1:13" x14ac:dyDescent="0.3">
      <c r="A1052" s="6"/>
      <c r="B1052" s="176"/>
      <c r="C1052" s="176"/>
      <c r="D1052" s="176"/>
      <c r="E1052" s="176"/>
      <c r="F1052" s="176"/>
      <c r="G1052" s="176"/>
      <c r="H1052" s="176"/>
      <c r="I1052" s="176"/>
      <c r="K1052" s="447"/>
      <c r="L1052" s="444"/>
      <c r="M1052" s="13"/>
    </row>
    <row r="1053" spans="1:13" x14ac:dyDescent="0.3">
      <c r="A1053" s="159"/>
      <c r="B1053" s="176"/>
      <c r="C1053" s="176"/>
      <c r="D1053" s="176"/>
      <c r="E1053" s="176"/>
      <c r="F1053" s="176"/>
      <c r="G1053" s="176"/>
      <c r="H1053" s="176"/>
      <c r="I1053" s="176"/>
      <c r="J1053" s="444"/>
      <c r="K1053" s="444"/>
      <c r="L1053" s="444"/>
      <c r="M1053" s="112"/>
    </row>
    <row r="1054" spans="1:13" x14ac:dyDescent="0.3">
      <c r="A1054" s="136"/>
      <c r="M1054" s="178"/>
    </row>
    <row r="1055" spans="1:13" x14ac:dyDescent="0.3">
      <c r="A1055" s="13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M1055" s="178"/>
    </row>
    <row r="1056" spans="1:13" x14ac:dyDescent="0.3">
      <c r="A1056" s="52"/>
      <c r="B1056" s="159"/>
      <c r="C1056" s="159"/>
      <c r="D1056" s="159"/>
      <c r="E1056" s="159"/>
      <c r="F1056" s="159"/>
      <c r="G1056" s="159"/>
      <c r="H1056" s="159"/>
      <c r="I1056" s="159"/>
      <c r="J1056" s="159"/>
      <c r="K1056" s="159"/>
      <c r="L1056" s="159"/>
      <c r="M1056" s="112"/>
    </row>
    <row r="1057" spans="1:13" x14ac:dyDescent="0.3">
      <c r="A1057" s="52"/>
      <c r="B1057" s="448"/>
      <c r="C1057" s="448"/>
      <c r="D1057" s="448"/>
      <c r="E1057" s="448"/>
      <c r="F1057" s="448"/>
      <c r="G1057" s="448"/>
      <c r="H1057" s="445"/>
      <c r="I1057" s="445"/>
      <c r="J1057" s="448"/>
      <c r="K1057" s="448"/>
      <c r="L1057" s="448"/>
      <c r="M1057" s="112"/>
    </row>
    <row r="1058" spans="1:13" x14ac:dyDescent="0.3">
      <c r="A1058" s="52"/>
      <c r="B1058" s="448"/>
      <c r="C1058" s="448"/>
      <c r="D1058" s="448"/>
      <c r="E1058" s="448"/>
      <c r="F1058" s="448"/>
      <c r="G1058" s="448"/>
      <c r="H1058" s="445"/>
      <c r="I1058" s="445"/>
      <c r="J1058" s="448"/>
      <c r="K1058" s="448"/>
      <c r="L1058" s="448"/>
      <c r="M1058" s="112"/>
    </row>
    <row r="1059" spans="1:13" x14ac:dyDescent="0.3">
      <c r="B1059" s="444"/>
      <c r="C1059" s="444"/>
      <c r="D1059" s="444"/>
      <c r="E1059" s="444"/>
      <c r="F1059" s="444"/>
      <c r="G1059" s="444"/>
      <c r="H1059" s="445"/>
      <c r="I1059" s="445"/>
      <c r="K1059" s="178"/>
      <c r="L1059" s="112"/>
      <c r="M1059" s="112"/>
    </row>
    <row r="1060" spans="1:13" x14ac:dyDescent="0.3">
      <c r="B1060" s="444"/>
      <c r="C1060" s="444"/>
      <c r="D1060" s="444"/>
      <c r="E1060" s="444"/>
      <c r="F1060" s="444"/>
      <c r="G1060" s="444"/>
      <c r="H1060" s="445"/>
      <c r="I1060" s="445"/>
      <c r="K1060" s="178"/>
      <c r="L1060" s="178"/>
      <c r="M1060" s="112"/>
    </row>
    <row r="1061" spans="1:13" x14ac:dyDescent="0.3">
      <c r="B1061" s="444"/>
      <c r="C1061" s="444"/>
      <c r="D1061" s="444"/>
      <c r="E1061" s="444"/>
      <c r="F1061" s="444"/>
      <c r="G1061" s="444"/>
      <c r="H1061" s="445"/>
      <c r="I1061" s="445"/>
      <c r="K1061" s="112"/>
      <c r="L1061" s="178"/>
      <c r="M1061" s="112"/>
    </row>
    <row r="1062" spans="1:13" x14ac:dyDescent="0.3">
      <c r="B1062" s="444"/>
      <c r="C1062" s="444"/>
      <c r="D1062" s="444"/>
      <c r="E1062" s="444"/>
      <c r="F1062" s="444"/>
      <c r="G1062" s="444"/>
      <c r="H1062" s="444"/>
      <c r="I1062" s="444"/>
      <c r="K1062" s="112"/>
      <c r="L1062" s="112"/>
      <c r="M1062" s="178"/>
    </row>
    <row r="1063" spans="1:13" x14ac:dyDescent="0.3">
      <c r="B1063" s="444"/>
      <c r="C1063" s="444"/>
      <c r="D1063" s="444"/>
      <c r="E1063" s="444"/>
      <c r="F1063" s="444"/>
      <c r="G1063" s="444"/>
      <c r="H1063" s="444"/>
      <c r="I1063" s="444"/>
      <c r="K1063" s="112"/>
      <c r="L1063" s="112"/>
      <c r="M1063" s="76"/>
    </row>
    <row r="1064" spans="1:13" x14ac:dyDescent="0.3">
      <c r="B1064" s="444"/>
      <c r="C1064" s="444"/>
      <c r="D1064" s="444"/>
      <c r="E1064" s="444"/>
      <c r="F1064" s="444"/>
      <c r="G1064" s="444"/>
      <c r="H1064" s="444"/>
      <c r="I1064" s="444"/>
      <c r="K1064" s="112"/>
      <c r="L1064" s="112"/>
      <c r="M1064" s="159"/>
    </row>
    <row r="1065" spans="1:13" x14ac:dyDescent="0.3">
      <c r="B1065" s="444"/>
      <c r="C1065" s="444"/>
      <c r="D1065" s="444"/>
      <c r="E1065" s="444"/>
      <c r="F1065" s="444"/>
      <c r="G1065" s="444"/>
      <c r="H1065" s="444"/>
      <c r="I1065" s="444"/>
      <c r="K1065" s="112"/>
      <c r="L1065" s="112"/>
    </row>
    <row r="1066" spans="1:13" x14ac:dyDescent="0.3">
      <c r="B1066" s="444"/>
      <c r="C1066" s="444"/>
      <c r="D1066" s="444"/>
      <c r="E1066" s="444"/>
      <c r="F1066" s="444"/>
      <c r="G1066" s="444"/>
      <c r="H1066" s="444"/>
      <c r="I1066" s="444"/>
      <c r="K1066" s="112"/>
      <c r="L1066" s="112"/>
      <c r="M1066" s="6"/>
    </row>
    <row r="1067" spans="1:13" x14ac:dyDescent="0.3">
      <c r="A1067" s="159"/>
      <c r="B1067" s="444"/>
      <c r="C1067" s="444"/>
      <c r="D1067" s="444"/>
      <c r="E1067" s="444"/>
      <c r="F1067" s="444"/>
      <c r="G1067" s="444"/>
      <c r="H1067" s="444"/>
      <c r="I1067" s="444"/>
      <c r="K1067" s="112"/>
      <c r="L1067" s="112"/>
      <c r="M1067" s="6"/>
    </row>
    <row r="1068" spans="1:13" x14ac:dyDescent="0.3">
      <c r="B1068" s="444"/>
      <c r="C1068" s="444"/>
      <c r="D1068" s="444"/>
      <c r="E1068" s="444"/>
      <c r="F1068" s="444"/>
      <c r="G1068" s="444"/>
      <c r="H1068" s="444"/>
      <c r="I1068" s="444"/>
      <c r="K1068" s="178"/>
      <c r="L1068" s="178"/>
      <c r="M1068" s="6"/>
    </row>
    <row r="1069" spans="1:13" x14ac:dyDescent="0.3">
      <c r="A1069" s="179"/>
      <c r="B1069" s="444"/>
      <c r="C1069" s="444"/>
      <c r="D1069" s="444"/>
      <c r="E1069" s="444"/>
      <c r="F1069" s="444"/>
      <c r="G1069" s="444"/>
      <c r="J1069" s="445"/>
      <c r="K1069" s="445"/>
      <c r="L1069" s="445"/>
      <c r="M1069" s="76"/>
    </row>
    <row r="1070" spans="1:13" x14ac:dyDescent="0.3">
      <c r="B1070" s="159"/>
      <c r="C1070" s="159"/>
      <c r="D1070" s="159"/>
      <c r="E1070" s="159"/>
      <c r="F1070" s="159"/>
      <c r="G1070" s="159"/>
      <c r="H1070" s="159"/>
      <c r="I1070" s="159"/>
      <c r="J1070" s="159"/>
      <c r="K1070" s="159"/>
      <c r="L1070" s="159"/>
      <c r="M1070" s="6"/>
    </row>
    <row r="1071" spans="1:13" ht="23.4" x14ac:dyDescent="0.45">
      <c r="A1071" s="52"/>
      <c r="B1071" s="446"/>
      <c r="C1071" s="446"/>
      <c r="D1071" s="446"/>
      <c r="E1071" s="446"/>
      <c r="F1071" s="446"/>
      <c r="G1071" s="446"/>
      <c r="H1071" s="446"/>
      <c r="I1071" s="446"/>
      <c r="J1071" s="52"/>
      <c r="M1071" s="28"/>
    </row>
    <row r="1072" spans="1:13" x14ac:dyDescent="0.3">
      <c r="B1072" s="444"/>
      <c r="C1072" s="444"/>
      <c r="D1072" s="444"/>
      <c r="E1072" s="444"/>
      <c r="F1072" s="444"/>
      <c r="G1072" s="444"/>
      <c r="H1072" s="444"/>
      <c r="I1072" s="444"/>
      <c r="J1072" s="444"/>
      <c r="K1072" s="444"/>
      <c r="L1072" s="444"/>
      <c r="M1072" s="13"/>
    </row>
    <row r="1073" spans="1:13" x14ac:dyDescent="0.3">
      <c r="B1073" s="454"/>
      <c r="C1073" s="454"/>
      <c r="D1073" s="454"/>
      <c r="E1073" s="454"/>
      <c r="K1073" s="444"/>
      <c r="L1073" s="444"/>
      <c r="M1073" s="13"/>
    </row>
    <row r="1074" spans="1:13" x14ac:dyDescent="0.3">
      <c r="A1074" s="52"/>
      <c r="B1074" s="454"/>
      <c r="C1074" s="454"/>
      <c r="D1074" s="454"/>
      <c r="E1074" s="454"/>
      <c r="F1074" s="52"/>
      <c r="G1074" s="52"/>
      <c r="H1074" s="52"/>
      <c r="I1074" s="52"/>
      <c r="J1074" s="52"/>
      <c r="K1074" s="444"/>
      <c r="L1074" s="444"/>
      <c r="M1074" s="34"/>
    </row>
    <row r="1075" spans="1:13" x14ac:dyDescent="0.3">
      <c r="A1075" s="13"/>
      <c r="B1075" s="455"/>
      <c r="C1075" s="455"/>
      <c r="D1075" s="455"/>
      <c r="E1075" s="455"/>
      <c r="F1075" s="445"/>
      <c r="G1075" s="445"/>
      <c r="H1075" s="445"/>
      <c r="I1075" s="445"/>
      <c r="J1075" s="445"/>
      <c r="K1075" s="445"/>
      <c r="L1075" s="445"/>
      <c r="M1075" s="34"/>
    </row>
    <row r="1076" spans="1:13" x14ac:dyDescent="0.3">
      <c r="A1076" s="13"/>
      <c r="K1076" s="6"/>
      <c r="L1076" s="6"/>
      <c r="M1076" s="74"/>
    </row>
    <row r="1077" spans="1:13" ht="23.4" x14ac:dyDescent="0.45">
      <c r="A1077" s="6"/>
      <c r="B1077" s="52"/>
      <c r="C1077" s="52"/>
      <c r="D1077" s="52"/>
      <c r="E1077" s="52"/>
      <c r="F1077" s="456"/>
      <c r="G1077" s="456"/>
      <c r="H1077" s="456"/>
      <c r="I1077" s="456"/>
      <c r="J1077" s="456"/>
      <c r="K1077" s="181"/>
      <c r="L1077" s="28"/>
      <c r="M1077" s="34"/>
    </row>
    <row r="1078" spans="1:13" x14ac:dyDescent="0.3">
      <c r="B1078" s="13"/>
      <c r="C1078" s="13"/>
      <c r="D1078" s="13"/>
      <c r="E1078" s="13"/>
      <c r="F1078" s="13"/>
      <c r="G1078" s="13"/>
      <c r="H1078" s="13"/>
      <c r="I1078" s="13"/>
      <c r="J1078" s="13"/>
      <c r="K1078" s="448"/>
      <c r="L1078" s="448"/>
      <c r="M1078" s="74"/>
    </row>
    <row r="1079" spans="1:13" x14ac:dyDescent="0.3">
      <c r="A1079" s="182"/>
      <c r="B1079" s="13"/>
      <c r="C1079" s="13"/>
      <c r="D1079" s="13"/>
      <c r="E1079" s="13"/>
      <c r="F1079" s="13"/>
      <c r="G1079" s="13"/>
      <c r="H1079" s="13"/>
      <c r="I1079" s="13"/>
      <c r="J1079" s="13"/>
      <c r="K1079" s="448"/>
      <c r="L1079" s="448"/>
      <c r="M1079" s="34"/>
    </row>
    <row r="1080" spans="1:13" x14ac:dyDescent="0.3">
      <c r="B1080" s="6"/>
      <c r="C1080" s="6"/>
      <c r="D1080" s="6"/>
      <c r="E1080" s="6"/>
      <c r="F1080" s="6"/>
      <c r="G1080" s="6"/>
      <c r="H1080" s="6"/>
      <c r="I1080" s="6"/>
      <c r="J1080" s="6"/>
      <c r="K1080" s="452"/>
      <c r="L1080" s="452"/>
      <c r="M1080" s="34"/>
    </row>
    <row r="1081" spans="1:13" x14ac:dyDescent="0.3">
      <c r="A1081" s="182"/>
      <c r="K1081" s="452"/>
      <c r="L1081" s="452"/>
      <c r="M1081" s="34"/>
    </row>
    <row r="1082" spans="1:13" x14ac:dyDescent="0.3">
      <c r="A1082" s="182"/>
      <c r="B1082" s="182"/>
      <c r="C1082" s="183"/>
      <c r="D1082" s="184"/>
      <c r="E1082" s="184"/>
      <c r="K1082" s="453"/>
      <c r="L1082" s="453"/>
      <c r="M1082" s="34"/>
    </row>
    <row r="1083" spans="1:13" x14ac:dyDescent="0.3">
      <c r="A1083" s="182"/>
      <c r="B1083" s="185"/>
      <c r="C1083" s="184"/>
      <c r="D1083" s="186"/>
      <c r="E1083" s="184"/>
      <c r="F1083" s="184"/>
      <c r="G1083" s="184"/>
      <c r="H1083" s="184"/>
      <c r="I1083" s="187"/>
      <c r="K1083" s="452"/>
      <c r="L1083" s="452"/>
      <c r="M1083" s="34"/>
    </row>
    <row r="1084" spans="1:13" x14ac:dyDescent="0.3">
      <c r="A1084" s="160"/>
      <c r="B1084" s="182"/>
      <c r="C1084" s="183"/>
      <c r="D1084" s="188"/>
      <c r="E1084" s="188"/>
      <c r="I1084" s="189"/>
      <c r="K1084" s="453"/>
      <c r="L1084" s="453"/>
      <c r="M1084" s="34"/>
    </row>
    <row r="1085" spans="1:13" x14ac:dyDescent="0.3">
      <c r="A1085" s="161"/>
      <c r="B1085" s="185"/>
      <c r="C1085" s="184"/>
      <c r="D1085" s="184"/>
      <c r="E1085" s="184"/>
      <c r="F1085" s="184"/>
      <c r="G1085" s="184"/>
      <c r="H1085" s="184"/>
      <c r="I1085" s="189"/>
      <c r="K1085" s="452"/>
      <c r="L1085" s="452"/>
      <c r="M1085" s="34"/>
    </row>
    <row r="1086" spans="1:13" ht="14.4" x14ac:dyDescent="0.3">
      <c r="A1086" s="162"/>
      <c r="B1086" s="190"/>
      <c r="C1086" s="187"/>
      <c r="D1086" s="191"/>
      <c r="E1086" s="192"/>
      <c r="F1086" s="128"/>
      <c r="G1086" s="128"/>
      <c r="H1086" s="128"/>
      <c r="I1086" s="189"/>
      <c r="K1086" s="452"/>
      <c r="L1086" s="452"/>
      <c r="M1086" s="34"/>
    </row>
    <row r="1087" spans="1:13" ht="14.4" x14ac:dyDescent="0.3">
      <c r="A1087" s="163"/>
      <c r="B1087" s="164"/>
      <c r="C1087" s="165"/>
      <c r="D1087" s="166"/>
      <c r="E1087" s="166"/>
      <c r="F1087" s="128"/>
      <c r="G1087" s="128"/>
      <c r="H1087" s="128"/>
      <c r="I1087" s="167"/>
      <c r="K1087" s="452"/>
      <c r="L1087" s="452"/>
      <c r="M1087" s="34"/>
    </row>
    <row r="1088" spans="1:13" ht="14.4" x14ac:dyDescent="0.3">
      <c r="A1088" s="168"/>
      <c r="B1088" s="169"/>
      <c r="C1088" s="165"/>
      <c r="D1088" s="170"/>
      <c r="E1088" s="128"/>
      <c r="F1088" s="128"/>
      <c r="G1088" s="128"/>
      <c r="H1088" s="128"/>
      <c r="I1088" s="167"/>
      <c r="J1088" s="6"/>
      <c r="K1088" s="452"/>
      <c r="L1088" s="452"/>
      <c r="M1088" s="74"/>
    </row>
    <row r="1089" spans="1:13" ht="14.4" x14ac:dyDescent="0.3">
      <c r="A1089" s="160"/>
      <c r="B1089" s="169"/>
      <c r="C1089" s="165"/>
      <c r="D1089" s="170"/>
      <c r="E1089" s="128"/>
      <c r="F1089" s="128"/>
      <c r="G1089" s="128"/>
      <c r="H1089" s="128"/>
      <c r="I1089" s="167"/>
      <c r="J1089" s="6"/>
      <c r="K1089" s="452"/>
      <c r="L1089" s="452"/>
      <c r="M1089" s="6"/>
    </row>
    <row r="1090" spans="1:13" ht="14.4" x14ac:dyDescent="0.3">
      <c r="B1090" s="169"/>
      <c r="C1090" s="128"/>
      <c r="D1090" s="170"/>
      <c r="E1090" s="128"/>
      <c r="F1090" s="128"/>
      <c r="G1090" s="128"/>
      <c r="H1090" s="128"/>
      <c r="I1090" s="167"/>
      <c r="K1090" s="452"/>
      <c r="L1090" s="452"/>
      <c r="M1090" s="6"/>
    </row>
    <row r="1091" spans="1:13" ht="14.4" x14ac:dyDescent="0.3">
      <c r="A1091" s="6"/>
      <c r="B1091" s="169"/>
      <c r="C1091" s="128"/>
      <c r="D1091" s="128"/>
      <c r="E1091" s="128"/>
      <c r="F1091" s="128"/>
      <c r="G1091" s="128"/>
      <c r="H1091" s="128"/>
      <c r="I1091" s="167"/>
      <c r="K1091" s="452"/>
      <c r="L1091" s="452"/>
      <c r="M1091" s="6"/>
    </row>
    <row r="1092" spans="1:13" x14ac:dyDescent="0.3">
      <c r="A1092" s="6"/>
      <c r="B1092" s="40"/>
      <c r="C1092" s="160"/>
      <c r="D1092" s="40"/>
      <c r="K1092" s="452"/>
      <c r="L1092" s="452"/>
      <c r="M1092" s="6"/>
    </row>
    <row r="1093" spans="1:13" x14ac:dyDescent="0.3">
      <c r="B1093" s="171"/>
      <c r="C1093" s="160"/>
      <c r="D1093" s="40"/>
      <c r="E1093" s="172"/>
      <c r="K1093" s="452"/>
      <c r="L1093" s="452"/>
      <c r="M1093" s="124"/>
    </row>
    <row r="1094" spans="1:13" x14ac:dyDescent="0.3">
      <c r="B1094" s="6"/>
      <c r="C1094" s="6"/>
      <c r="D1094" s="6"/>
      <c r="E1094" s="6"/>
      <c r="F1094" s="6"/>
      <c r="G1094" s="445"/>
      <c r="H1094" s="445"/>
      <c r="I1094" s="445"/>
      <c r="J1094" s="445"/>
      <c r="K1094" s="453"/>
      <c r="L1094" s="453"/>
      <c r="M1094" s="173"/>
    </row>
    <row r="1095" spans="1:13" x14ac:dyDescent="0.3">
      <c r="B1095" s="6"/>
      <c r="C1095" s="6"/>
      <c r="D1095" s="6"/>
      <c r="E1095" s="6"/>
      <c r="F1095" s="6"/>
      <c r="G1095" s="444"/>
      <c r="H1095" s="444"/>
      <c r="I1095" s="444"/>
      <c r="J1095" s="444"/>
      <c r="K1095" s="444"/>
      <c r="L1095" s="444"/>
      <c r="M1095" s="173"/>
    </row>
    <row r="1096" spans="1:13" x14ac:dyDescent="0.3">
      <c r="A1096" s="124"/>
      <c r="B1096" s="449"/>
      <c r="C1096" s="449"/>
      <c r="D1096" s="449"/>
      <c r="E1096" s="449"/>
      <c r="F1096" s="449"/>
      <c r="G1096" s="444"/>
      <c r="H1096" s="444"/>
      <c r="I1096" s="444"/>
      <c r="J1096" s="444"/>
      <c r="K1096" s="444"/>
      <c r="L1096" s="444"/>
      <c r="M1096" s="174"/>
    </row>
    <row r="1097" spans="1:13" x14ac:dyDescent="0.3">
      <c r="A1097" s="124"/>
      <c r="B1097" s="449"/>
      <c r="C1097" s="449"/>
      <c r="D1097" s="449"/>
      <c r="E1097" s="449"/>
      <c r="F1097" s="449"/>
      <c r="G1097" s="444"/>
      <c r="H1097" s="444"/>
      <c r="I1097" s="444"/>
      <c r="J1097" s="444"/>
      <c r="K1097" s="444"/>
      <c r="L1097" s="444"/>
      <c r="M1097" s="136"/>
    </row>
    <row r="1098" spans="1:13" x14ac:dyDescent="0.3">
      <c r="A1098" s="124"/>
      <c r="B1098" s="449"/>
      <c r="C1098" s="449"/>
      <c r="D1098" s="449"/>
      <c r="E1098" s="449"/>
      <c r="F1098" s="449"/>
      <c r="G1098" s="444"/>
      <c r="H1098" s="444"/>
      <c r="I1098" s="444"/>
      <c r="J1098" s="444"/>
      <c r="K1098" s="444"/>
      <c r="L1098" s="444"/>
      <c r="M1098" s="6"/>
    </row>
    <row r="1099" spans="1:13" x14ac:dyDescent="0.3">
      <c r="A1099" s="124"/>
      <c r="B1099" s="124"/>
      <c r="C1099" s="124"/>
      <c r="D1099" s="124"/>
      <c r="E1099" s="124"/>
      <c r="F1099" s="124"/>
      <c r="G1099" s="449"/>
      <c r="H1099" s="449"/>
      <c r="I1099" s="449"/>
      <c r="J1099" s="449"/>
      <c r="K1099" s="449"/>
      <c r="L1099" s="449"/>
    </row>
    <row r="1100" spans="1:13" x14ac:dyDescent="0.3">
      <c r="A1100" s="6"/>
      <c r="B1100" s="124"/>
      <c r="C1100" s="124"/>
      <c r="D1100" s="124"/>
      <c r="E1100" s="124"/>
      <c r="F1100" s="124"/>
      <c r="G1100" s="175"/>
      <c r="H1100" s="175"/>
      <c r="I1100" s="175"/>
      <c r="J1100" s="173"/>
      <c r="K1100" s="173"/>
      <c r="L1100" s="173"/>
    </row>
    <row r="1101" spans="1:13" x14ac:dyDescent="0.3">
      <c r="A1101" s="6"/>
      <c r="B1101" s="124"/>
      <c r="C1101" s="124"/>
      <c r="D1101" s="124"/>
      <c r="E1101" s="124"/>
      <c r="F1101" s="124"/>
      <c r="G1101" s="175"/>
      <c r="H1101" s="175"/>
      <c r="I1101" s="175"/>
      <c r="J1101" s="173"/>
      <c r="K1101" s="173"/>
      <c r="L1101" s="173"/>
      <c r="M1101" s="6"/>
    </row>
    <row r="1102" spans="1:13" x14ac:dyDescent="0.3">
      <c r="A1102" s="124"/>
      <c r="B1102" s="124"/>
      <c r="C1102" s="124"/>
      <c r="D1102" s="124"/>
      <c r="E1102" s="124"/>
      <c r="F1102" s="124"/>
      <c r="G1102" s="450"/>
      <c r="H1102" s="450"/>
      <c r="I1102" s="450"/>
      <c r="J1102" s="450"/>
      <c r="K1102" s="450"/>
      <c r="L1102" s="450"/>
      <c r="M1102" s="6"/>
    </row>
    <row r="1103" spans="1:13" x14ac:dyDescent="0.3">
      <c r="A1103" s="6"/>
      <c r="B1103" s="6"/>
      <c r="C1103" s="6"/>
      <c r="D1103" s="6"/>
      <c r="E1103" s="6"/>
      <c r="F1103" s="6"/>
      <c r="G1103" s="6"/>
      <c r="H1103" s="6"/>
      <c r="I1103" s="6"/>
      <c r="J1103" s="451"/>
      <c r="K1103" s="451"/>
      <c r="L1103" s="451"/>
      <c r="M1103" s="6"/>
    </row>
    <row r="1104" spans="1:13" x14ac:dyDescent="0.3">
      <c r="A1104" s="124"/>
      <c r="B1104" s="6"/>
      <c r="C1104" s="6"/>
      <c r="D1104" s="6"/>
      <c r="E1104" s="112"/>
      <c r="F1104" s="112"/>
      <c r="J1104" s="444"/>
      <c r="K1104" s="444"/>
      <c r="L1104" s="444"/>
      <c r="M1104" s="6"/>
    </row>
    <row r="1105" spans="1:13" x14ac:dyDescent="0.3">
      <c r="A1105" s="6"/>
      <c r="B1105" s="124"/>
      <c r="C1105" s="124"/>
      <c r="D1105" s="124"/>
      <c r="E1105" s="112"/>
      <c r="F1105" s="112"/>
      <c r="M1105" s="6"/>
    </row>
    <row r="1106" spans="1:13" x14ac:dyDescent="0.3">
      <c r="A1106" s="76"/>
      <c r="B1106" s="6"/>
      <c r="C1106" s="6"/>
      <c r="D1106" s="6"/>
      <c r="E1106" s="112"/>
      <c r="F1106" s="112"/>
    </row>
    <row r="1107" spans="1:13" x14ac:dyDescent="0.3">
      <c r="A1107" s="176"/>
      <c r="B1107" s="124"/>
      <c r="C1107" s="124"/>
      <c r="D1107" s="124"/>
      <c r="E1107" s="112"/>
      <c r="F1107" s="112"/>
      <c r="J1107" s="444"/>
      <c r="K1107" s="444"/>
      <c r="L1107" s="444"/>
    </row>
    <row r="1108" spans="1:13" x14ac:dyDescent="0.3">
      <c r="A1108" s="176"/>
      <c r="B1108" s="6"/>
      <c r="C1108" s="6"/>
      <c r="D1108" s="6"/>
      <c r="E1108" s="112"/>
      <c r="F1108" s="112"/>
      <c r="J1108" s="444"/>
      <c r="K1108" s="444"/>
      <c r="L1108" s="444"/>
      <c r="M1108" s="159"/>
    </row>
    <row r="1109" spans="1:13" x14ac:dyDescent="0.3">
      <c r="B1109" s="76"/>
      <c r="C1109" s="76"/>
      <c r="D1109" s="76"/>
      <c r="E1109" s="76"/>
      <c r="F1109" s="76"/>
      <c r="G1109" s="76"/>
      <c r="H1109" s="76"/>
      <c r="I1109" s="76"/>
      <c r="K1109" s="444"/>
      <c r="L1109" s="444"/>
      <c r="M1109" s="13"/>
    </row>
    <row r="1110" spans="1:13" x14ac:dyDescent="0.3">
      <c r="A1110" s="6"/>
      <c r="B1110" s="176"/>
      <c r="C1110" s="176"/>
      <c r="D1110" s="176"/>
      <c r="E1110" s="176"/>
      <c r="F1110" s="176"/>
      <c r="G1110" s="176"/>
      <c r="H1110" s="176"/>
      <c r="I1110" s="176"/>
      <c r="K1110" s="447"/>
      <c r="L1110" s="444"/>
      <c r="M1110" s="13"/>
    </row>
    <row r="1111" spans="1:13" x14ac:dyDescent="0.3">
      <c r="A1111" s="159"/>
      <c r="B1111" s="176"/>
      <c r="C1111" s="176"/>
      <c r="D1111" s="176"/>
      <c r="E1111" s="176"/>
      <c r="F1111" s="176"/>
      <c r="G1111" s="176"/>
      <c r="H1111" s="176"/>
      <c r="I1111" s="176"/>
      <c r="J1111" s="444"/>
      <c r="K1111" s="444"/>
      <c r="L1111" s="444"/>
      <c r="M1111" s="112"/>
    </row>
    <row r="1112" spans="1:13" x14ac:dyDescent="0.3">
      <c r="A1112" s="136"/>
      <c r="M1112" s="178"/>
    </row>
    <row r="1113" spans="1:13" x14ac:dyDescent="0.3">
      <c r="A1113" s="13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M1113" s="178"/>
    </row>
    <row r="1114" spans="1:13" x14ac:dyDescent="0.3">
      <c r="A1114" s="52"/>
      <c r="B1114" s="159"/>
      <c r="C1114" s="159"/>
      <c r="D1114" s="159"/>
      <c r="E1114" s="159"/>
      <c r="F1114" s="159"/>
      <c r="G1114" s="159"/>
      <c r="H1114" s="159"/>
      <c r="I1114" s="159"/>
      <c r="J1114" s="159"/>
      <c r="K1114" s="159"/>
      <c r="L1114" s="159"/>
      <c r="M1114" s="112"/>
    </row>
    <row r="1115" spans="1:13" x14ac:dyDescent="0.3">
      <c r="A1115" s="52"/>
      <c r="B1115" s="448"/>
      <c r="C1115" s="448"/>
      <c r="D1115" s="448"/>
      <c r="E1115" s="448"/>
      <c r="F1115" s="448"/>
      <c r="G1115" s="448"/>
      <c r="H1115" s="445"/>
      <c r="I1115" s="445"/>
      <c r="J1115" s="448"/>
      <c r="K1115" s="448"/>
      <c r="L1115" s="448"/>
      <c r="M1115" s="112"/>
    </row>
    <row r="1116" spans="1:13" x14ac:dyDescent="0.3">
      <c r="A1116" s="52"/>
      <c r="B1116" s="448"/>
      <c r="C1116" s="448"/>
      <c r="D1116" s="448"/>
      <c r="E1116" s="448"/>
      <c r="F1116" s="448"/>
      <c r="G1116" s="448"/>
      <c r="H1116" s="445"/>
      <c r="I1116" s="445"/>
      <c r="J1116" s="448"/>
      <c r="K1116" s="448"/>
      <c r="L1116" s="448"/>
      <c r="M1116" s="112"/>
    </row>
    <row r="1117" spans="1:13" x14ac:dyDescent="0.3">
      <c r="B1117" s="444"/>
      <c r="C1117" s="444"/>
      <c r="D1117" s="444"/>
      <c r="E1117" s="444"/>
      <c r="F1117" s="444"/>
      <c r="G1117" s="444"/>
      <c r="H1117" s="445"/>
      <c r="I1117" s="445"/>
      <c r="K1117" s="178"/>
      <c r="L1117" s="112"/>
      <c r="M1117" s="112"/>
    </row>
    <row r="1118" spans="1:13" x14ac:dyDescent="0.3">
      <c r="B1118" s="444"/>
      <c r="C1118" s="444"/>
      <c r="D1118" s="444"/>
      <c r="E1118" s="444"/>
      <c r="F1118" s="444"/>
      <c r="G1118" s="444"/>
      <c r="H1118" s="445"/>
      <c r="I1118" s="445"/>
      <c r="K1118" s="178"/>
      <c r="L1118" s="178"/>
      <c r="M1118" s="112"/>
    </row>
    <row r="1119" spans="1:13" x14ac:dyDescent="0.3">
      <c r="B1119" s="444"/>
      <c r="C1119" s="444"/>
      <c r="D1119" s="444"/>
      <c r="E1119" s="444"/>
      <c r="F1119" s="444"/>
      <c r="G1119" s="444"/>
      <c r="H1119" s="445"/>
      <c r="I1119" s="445"/>
      <c r="K1119" s="112"/>
      <c r="L1119" s="178"/>
      <c r="M1119" s="112"/>
    </row>
    <row r="1120" spans="1:13" x14ac:dyDescent="0.3">
      <c r="B1120" s="444"/>
      <c r="C1120" s="444"/>
      <c r="D1120" s="444"/>
      <c r="E1120" s="444"/>
      <c r="F1120" s="444"/>
      <c r="G1120" s="444"/>
      <c r="H1120" s="444"/>
      <c r="I1120" s="444"/>
      <c r="K1120" s="112"/>
      <c r="L1120" s="112"/>
      <c r="M1120" s="178"/>
    </row>
    <row r="1121" spans="1:13" x14ac:dyDescent="0.3">
      <c r="B1121" s="444"/>
      <c r="C1121" s="444"/>
      <c r="D1121" s="444"/>
      <c r="E1121" s="444"/>
      <c r="F1121" s="444"/>
      <c r="G1121" s="444"/>
      <c r="H1121" s="444"/>
      <c r="I1121" s="444"/>
      <c r="K1121" s="112"/>
      <c r="L1121" s="112"/>
      <c r="M1121" s="76"/>
    </row>
    <row r="1122" spans="1:13" x14ac:dyDescent="0.3">
      <c r="B1122" s="444"/>
      <c r="C1122" s="444"/>
      <c r="D1122" s="444"/>
      <c r="E1122" s="444"/>
      <c r="F1122" s="444"/>
      <c r="G1122" s="444"/>
      <c r="H1122" s="444"/>
      <c r="I1122" s="444"/>
      <c r="K1122" s="112"/>
      <c r="L1122" s="112"/>
      <c r="M1122" s="159"/>
    </row>
    <row r="1123" spans="1:13" x14ac:dyDescent="0.3">
      <c r="B1123" s="444"/>
      <c r="C1123" s="444"/>
      <c r="D1123" s="444"/>
      <c r="E1123" s="444"/>
      <c r="F1123" s="444"/>
      <c r="G1123" s="444"/>
      <c r="H1123" s="444"/>
      <c r="I1123" s="444"/>
      <c r="K1123" s="112"/>
      <c r="L1123" s="112"/>
    </row>
    <row r="1124" spans="1:13" x14ac:dyDescent="0.3">
      <c r="B1124" s="444"/>
      <c r="C1124" s="444"/>
      <c r="D1124" s="444"/>
      <c r="E1124" s="444"/>
      <c r="F1124" s="444"/>
      <c r="G1124" s="444"/>
      <c r="H1124" s="444"/>
      <c r="I1124" s="444"/>
      <c r="K1124" s="112"/>
      <c r="L1124" s="112"/>
      <c r="M1124" s="6"/>
    </row>
    <row r="1125" spans="1:13" x14ac:dyDescent="0.3">
      <c r="A1125" s="159"/>
      <c r="B1125" s="444"/>
      <c r="C1125" s="444"/>
      <c r="D1125" s="444"/>
      <c r="E1125" s="444"/>
      <c r="F1125" s="444"/>
      <c r="G1125" s="444"/>
      <c r="H1125" s="444"/>
      <c r="I1125" s="444"/>
      <c r="K1125" s="112"/>
      <c r="L1125" s="112"/>
      <c r="M1125" s="6"/>
    </row>
    <row r="1126" spans="1:13" x14ac:dyDescent="0.3">
      <c r="B1126" s="444"/>
      <c r="C1126" s="444"/>
      <c r="D1126" s="444"/>
      <c r="E1126" s="444"/>
      <c r="F1126" s="444"/>
      <c r="G1126" s="444"/>
      <c r="H1126" s="444"/>
      <c r="I1126" s="444"/>
      <c r="K1126" s="178"/>
      <c r="L1126" s="178"/>
      <c r="M1126" s="6"/>
    </row>
    <row r="1127" spans="1:13" x14ac:dyDescent="0.3">
      <c r="A1127" s="179"/>
      <c r="B1127" s="444"/>
      <c r="C1127" s="444"/>
      <c r="D1127" s="444"/>
      <c r="E1127" s="444"/>
      <c r="F1127" s="444"/>
      <c r="G1127" s="444"/>
      <c r="J1127" s="445"/>
      <c r="K1127" s="445"/>
      <c r="L1127" s="445"/>
      <c r="M1127" s="76"/>
    </row>
    <row r="1128" spans="1:13" x14ac:dyDescent="0.3">
      <c r="B1128" s="159"/>
      <c r="C1128" s="159"/>
      <c r="D1128" s="159"/>
      <c r="E1128" s="159"/>
      <c r="F1128" s="159"/>
      <c r="G1128" s="159"/>
      <c r="H1128" s="159"/>
      <c r="I1128" s="159"/>
      <c r="J1128" s="159"/>
      <c r="K1128" s="159"/>
      <c r="L1128" s="159"/>
      <c r="M1128" s="6"/>
    </row>
    <row r="1129" spans="1:13" ht="23.4" x14ac:dyDescent="0.45">
      <c r="A1129" s="52"/>
      <c r="B1129" s="446"/>
      <c r="C1129" s="446"/>
      <c r="D1129" s="446"/>
      <c r="E1129" s="446"/>
      <c r="F1129" s="446"/>
      <c r="G1129" s="446"/>
      <c r="H1129" s="446"/>
      <c r="I1129" s="446"/>
      <c r="J1129" s="52"/>
      <c r="M1129" s="28"/>
    </row>
    <row r="1130" spans="1:13" x14ac:dyDescent="0.3">
      <c r="B1130" s="444"/>
      <c r="C1130" s="444"/>
      <c r="D1130" s="444"/>
      <c r="E1130" s="444"/>
      <c r="F1130" s="444"/>
      <c r="G1130" s="444"/>
      <c r="H1130" s="444"/>
      <c r="I1130" s="444"/>
      <c r="J1130" s="444"/>
      <c r="K1130" s="444"/>
      <c r="L1130" s="444"/>
      <c r="M1130" s="13"/>
    </row>
    <row r="1131" spans="1:13" x14ac:dyDescent="0.3">
      <c r="B1131" s="454"/>
      <c r="C1131" s="454"/>
      <c r="D1131" s="454"/>
      <c r="E1131" s="454"/>
      <c r="K1131" s="444"/>
      <c r="L1131" s="444"/>
      <c r="M1131" s="13"/>
    </row>
    <row r="1132" spans="1:13" x14ac:dyDescent="0.3">
      <c r="A1132" s="52"/>
      <c r="B1132" s="454"/>
      <c r="C1132" s="454"/>
      <c r="D1132" s="454"/>
      <c r="E1132" s="454"/>
      <c r="F1132" s="52"/>
      <c r="G1132" s="52"/>
      <c r="H1132" s="52"/>
      <c r="I1132" s="52"/>
      <c r="J1132" s="52"/>
      <c r="K1132" s="444"/>
      <c r="L1132" s="444"/>
      <c r="M1132" s="34"/>
    </row>
    <row r="1133" spans="1:13" x14ac:dyDescent="0.3">
      <c r="A1133" s="13"/>
      <c r="B1133" s="455"/>
      <c r="C1133" s="455"/>
      <c r="D1133" s="455"/>
      <c r="E1133" s="455"/>
      <c r="F1133" s="445"/>
      <c r="G1133" s="445"/>
      <c r="H1133" s="445"/>
      <c r="I1133" s="445"/>
      <c r="J1133" s="445"/>
      <c r="K1133" s="445"/>
      <c r="L1133" s="445"/>
      <c r="M1133" s="34"/>
    </row>
    <row r="1134" spans="1:13" x14ac:dyDescent="0.3">
      <c r="A1134" s="13"/>
      <c r="K1134" s="6"/>
      <c r="L1134" s="6"/>
      <c r="M1134" s="74"/>
    </row>
    <row r="1135" spans="1:13" ht="23.4" x14ac:dyDescent="0.45">
      <c r="A1135" s="6"/>
      <c r="B1135" s="52"/>
      <c r="C1135" s="52"/>
      <c r="D1135" s="52"/>
      <c r="E1135" s="52"/>
      <c r="F1135" s="456"/>
      <c r="G1135" s="456"/>
      <c r="H1135" s="456"/>
      <c r="I1135" s="456"/>
      <c r="J1135" s="456"/>
      <c r="K1135" s="181"/>
      <c r="L1135" s="28"/>
      <c r="M1135" s="34"/>
    </row>
    <row r="1136" spans="1:13" x14ac:dyDescent="0.3">
      <c r="B1136" s="13"/>
      <c r="C1136" s="13"/>
      <c r="D1136" s="13"/>
      <c r="E1136" s="13"/>
      <c r="F1136" s="13"/>
      <c r="G1136" s="13"/>
      <c r="H1136" s="13"/>
      <c r="I1136" s="13"/>
      <c r="J1136" s="13"/>
      <c r="K1136" s="448"/>
      <c r="L1136" s="448"/>
      <c r="M1136" s="74"/>
    </row>
    <row r="1137" spans="1:13" x14ac:dyDescent="0.3">
      <c r="A1137" s="182"/>
      <c r="B1137" s="13"/>
      <c r="C1137" s="13"/>
      <c r="D1137" s="13"/>
      <c r="E1137" s="13"/>
      <c r="F1137" s="13"/>
      <c r="G1137" s="13"/>
      <c r="H1137" s="13"/>
      <c r="I1137" s="13"/>
      <c r="J1137" s="13"/>
      <c r="K1137" s="448"/>
      <c r="L1137" s="448"/>
      <c r="M1137" s="34"/>
    </row>
    <row r="1138" spans="1:13" x14ac:dyDescent="0.3">
      <c r="B1138" s="6"/>
      <c r="C1138" s="6"/>
      <c r="D1138" s="6"/>
      <c r="E1138" s="6"/>
      <c r="F1138" s="6"/>
      <c r="G1138" s="6"/>
      <c r="H1138" s="6"/>
      <c r="I1138" s="6"/>
      <c r="J1138" s="6"/>
      <c r="K1138" s="452"/>
      <c r="L1138" s="452"/>
      <c r="M1138" s="34"/>
    </row>
    <row r="1139" spans="1:13" x14ac:dyDescent="0.3">
      <c r="A1139" s="182"/>
      <c r="K1139" s="452"/>
      <c r="L1139" s="452"/>
      <c r="M1139" s="34"/>
    </row>
    <row r="1140" spans="1:13" x14ac:dyDescent="0.3">
      <c r="A1140" s="182"/>
      <c r="B1140" s="182"/>
      <c r="C1140" s="183"/>
      <c r="D1140" s="184"/>
      <c r="E1140" s="184"/>
      <c r="K1140" s="453"/>
      <c r="L1140" s="453"/>
      <c r="M1140" s="34"/>
    </row>
    <row r="1141" spans="1:13" x14ac:dyDescent="0.3">
      <c r="A1141" s="182"/>
      <c r="B1141" s="185"/>
      <c r="C1141" s="184"/>
      <c r="D1141" s="186"/>
      <c r="E1141" s="184"/>
      <c r="F1141" s="184"/>
      <c r="G1141" s="184"/>
      <c r="H1141" s="184"/>
      <c r="I1141" s="187"/>
      <c r="K1141" s="452"/>
      <c r="L1141" s="452"/>
      <c r="M1141" s="34"/>
    </row>
    <row r="1142" spans="1:13" x14ac:dyDescent="0.3">
      <c r="A1142" s="160"/>
      <c r="B1142" s="182"/>
      <c r="C1142" s="183"/>
      <c r="D1142" s="188"/>
      <c r="E1142" s="188"/>
      <c r="I1142" s="189"/>
      <c r="K1142" s="453"/>
      <c r="L1142" s="453"/>
      <c r="M1142" s="34"/>
    </row>
    <row r="1143" spans="1:13" x14ac:dyDescent="0.3">
      <c r="A1143" s="161"/>
      <c r="B1143" s="185"/>
      <c r="C1143" s="184"/>
      <c r="D1143" s="184"/>
      <c r="E1143" s="184"/>
      <c r="F1143" s="184"/>
      <c r="G1143" s="184"/>
      <c r="H1143" s="184"/>
      <c r="I1143" s="189"/>
      <c r="K1143" s="452"/>
      <c r="L1143" s="452"/>
      <c r="M1143" s="34"/>
    </row>
    <row r="1144" spans="1:13" ht="14.4" x14ac:dyDescent="0.3">
      <c r="A1144" s="162"/>
      <c r="B1144" s="190"/>
      <c r="C1144" s="187"/>
      <c r="D1144" s="191"/>
      <c r="E1144" s="192"/>
      <c r="F1144" s="128"/>
      <c r="G1144" s="128"/>
      <c r="H1144" s="128"/>
      <c r="I1144" s="189"/>
      <c r="K1144" s="452"/>
      <c r="L1144" s="452"/>
      <c r="M1144" s="34"/>
    </row>
    <row r="1145" spans="1:13" ht="14.4" x14ac:dyDescent="0.3">
      <c r="A1145" s="163"/>
      <c r="B1145" s="164"/>
      <c r="C1145" s="165"/>
      <c r="D1145" s="166"/>
      <c r="E1145" s="166"/>
      <c r="F1145" s="128"/>
      <c r="G1145" s="128"/>
      <c r="H1145" s="128"/>
      <c r="I1145" s="167"/>
      <c r="K1145" s="452"/>
      <c r="L1145" s="452"/>
      <c r="M1145" s="34"/>
    </row>
    <row r="1146" spans="1:13" ht="14.4" x14ac:dyDescent="0.3">
      <c r="A1146" s="168"/>
      <c r="B1146" s="169"/>
      <c r="C1146" s="165"/>
      <c r="D1146" s="170"/>
      <c r="E1146" s="128"/>
      <c r="F1146" s="128"/>
      <c r="G1146" s="128"/>
      <c r="H1146" s="128"/>
      <c r="I1146" s="167"/>
      <c r="J1146" s="6"/>
      <c r="K1146" s="452"/>
      <c r="L1146" s="452"/>
      <c r="M1146" s="74"/>
    </row>
    <row r="1147" spans="1:13" ht="14.4" x14ac:dyDescent="0.3">
      <c r="A1147" s="160"/>
      <c r="B1147" s="169"/>
      <c r="C1147" s="165"/>
      <c r="D1147" s="170"/>
      <c r="E1147" s="128"/>
      <c r="F1147" s="128"/>
      <c r="G1147" s="128"/>
      <c r="H1147" s="128"/>
      <c r="I1147" s="167"/>
      <c r="J1147" s="6"/>
      <c r="K1147" s="452"/>
      <c r="L1147" s="452"/>
      <c r="M1147" s="6"/>
    </row>
    <row r="1148" spans="1:13" ht="14.4" x14ac:dyDescent="0.3">
      <c r="B1148" s="169"/>
      <c r="C1148" s="128"/>
      <c r="D1148" s="170"/>
      <c r="E1148" s="128"/>
      <c r="F1148" s="128"/>
      <c r="G1148" s="128"/>
      <c r="H1148" s="128"/>
      <c r="I1148" s="167"/>
      <c r="K1148" s="452"/>
      <c r="L1148" s="452"/>
      <c r="M1148" s="6"/>
    </row>
    <row r="1149" spans="1:13" ht="14.4" x14ac:dyDescent="0.3">
      <c r="A1149" s="6"/>
      <c r="B1149" s="169"/>
      <c r="C1149" s="128"/>
      <c r="D1149" s="128"/>
      <c r="E1149" s="128"/>
      <c r="F1149" s="128"/>
      <c r="G1149" s="128"/>
      <c r="H1149" s="128"/>
      <c r="I1149" s="167"/>
      <c r="K1149" s="452"/>
      <c r="L1149" s="452"/>
      <c r="M1149" s="6"/>
    </row>
    <row r="1150" spans="1:13" x14ac:dyDescent="0.3">
      <c r="A1150" s="6"/>
      <c r="B1150" s="40"/>
      <c r="C1150" s="160"/>
      <c r="D1150" s="40"/>
      <c r="K1150" s="452"/>
      <c r="L1150" s="452"/>
      <c r="M1150" s="6"/>
    </row>
    <row r="1151" spans="1:13" x14ac:dyDescent="0.3">
      <c r="B1151" s="171"/>
      <c r="C1151" s="160"/>
      <c r="D1151" s="40"/>
      <c r="E1151" s="172"/>
      <c r="K1151" s="452"/>
      <c r="L1151" s="452"/>
      <c r="M1151" s="124"/>
    </row>
    <row r="1152" spans="1:13" x14ac:dyDescent="0.3">
      <c r="B1152" s="6"/>
      <c r="C1152" s="6"/>
      <c r="D1152" s="6"/>
      <c r="E1152" s="6"/>
      <c r="F1152" s="6"/>
      <c r="G1152" s="445"/>
      <c r="H1152" s="445"/>
      <c r="I1152" s="445"/>
      <c r="J1152" s="445"/>
      <c r="K1152" s="453"/>
      <c r="L1152" s="453"/>
      <c r="M1152" s="173"/>
    </row>
    <row r="1153" spans="1:13" x14ac:dyDescent="0.3">
      <c r="B1153" s="6"/>
      <c r="C1153" s="6"/>
      <c r="D1153" s="6"/>
      <c r="E1153" s="6"/>
      <c r="F1153" s="6"/>
      <c r="G1153" s="444"/>
      <c r="H1153" s="444"/>
      <c r="I1153" s="444"/>
      <c r="J1153" s="444"/>
      <c r="K1153" s="444"/>
      <c r="L1153" s="444"/>
      <c r="M1153" s="173"/>
    </row>
    <row r="1154" spans="1:13" x14ac:dyDescent="0.3">
      <c r="A1154" s="124"/>
      <c r="B1154" s="449"/>
      <c r="C1154" s="449"/>
      <c r="D1154" s="449"/>
      <c r="E1154" s="449"/>
      <c r="F1154" s="449"/>
      <c r="G1154" s="444"/>
      <c r="H1154" s="444"/>
      <c r="I1154" s="444"/>
      <c r="J1154" s="444"/>
      <c r="K1154" s="444"/>
      <c r="L1154" s="444"/>
      <c r="M1154" s="174"/>
    </row>
    <row r="1155" spans="1:13" x14ac:dyDescent="0.3">
      <c r="A1155" s="124"/>
      <c r="B1155" s="449"/>
      <c r="C1155" s="449"/>
      <c r="D1155" s="449"/>
      <c r="E1155" s="449"/>
      <c r="F1155" s="449"/>
      <c r="G1155" s="444"/>
      <c r="H1155" s="444"/>
      <c r="I1155" s="444"/>
      <c r="J1155" s="444"/>
      <c r="K1155" s="444"/>
      <c r="L1155" s="444"/>
      <c r="M1155" s="136"/>
    </row>
    <row r="1156" spans="1:13" x14ac:dyDescent="0.3">
      <c r="A1156" s="124"/>
      <c r="B1156" s="449"/>
      <c r="C1156" s="449"/>
      <c r="D1156" s="449"/>
      <c r="E1156" s="449"/>
      <c r="F1156" s="449"/>
      <c r="G1156" s="444"/>
      <c r="H1156" s="444"/>
      <c r="I1156" s="444"/>
      <c r="J1156" s="444"/>
      <c r="K1156" s="444"/>
      <c r="L1156" s="444"/>
      <c r="M1156" s="6"/>
    </row>
    <row r="1157" spans="1:13" x14ac:dyDescent="0.3">
      <c r="A1157" s="124"/>
      <c r="B1157" s="124"/>
      <c r="C1157" s="124"/>
      <c r="D1157" s="124"/>
      <c r="E1157" s="124"/>
      <c r="F1157" s="124"/>
      <c r="G1157" s="449"/>
      <c r="H1157" s="449"/>
      <c r="I1157" s="449"/>
      <c r="J1157" s="449"/>
      <c r="K1157" s="449"/>
      <c r="L1157" s="449"/>
    </row>
    <row r="1158" spans="1:13" x14ac:dyDescent="0.3">
      <c r="A1158" s="6"/>
      <c r="B1158" s="124"/>
      <c r="C1158" s="124"/>
      <c r="D1158" s="124"/>
      <c r="E1158" s="124"/>
      <c r="F1158" s="124"/>
      <c r="G1158" s="175"/>
      <c r="H1158" s="175"/>
      <c r="I1158" s="175"/>
      <c r="J1158" s="173"/>
      <c r="K1158" s="173"/>
      <c r="L1158" s="173"/>
    </row>
    <row r="1159" spans="1:13" x14ac:dyDescent="0.3">
      <c r="A1159" s="6"/>
      <c r="B1159" s="124"/>
      <c r="C1159" s="124"/>
      <c r="D1159" s="124"/>
      <c r="E1159" s="124"/>
      <c r="F1159" s="124"/>
      <c r="G1159" s="175"/>
      <c r="H1159" s="175"/>
      <c r="I1159" s="175"/>
      <c r="J1159" s="173"/>
      <c r="K1159" s="173"/>
      <c r="L1159" s="173"/>
      <c r="M1159" s="6"/>
    </row>
    <row r="1160" spans="1:13" x14ac:dyDescent="0.3">
      <c r="A1160" s="124"/>
      <c r="B1160" s="124"/>
      <c r="C1160" s="124"/>
      <c r="D1160" s="124"/>
      <c r="E1160" s="124"/>
      <c r="F1160" s="124"/>
      <c r="G1160" s="450"/>
      <c r="H1160" s="450"/>
      <c r="I1160" s="450"/>
      <c r="J1160" s="450"/>
      <c r="K1160" s="450"/>
      <c r="L1160" s="450"/>
      <c r="M1160" s="6"/>
    </row>
    <row r="1161" spans="1:13" x14ac:dyDescent="0.3">
      <c r="A1161" s="6"/>
      <c r="B1161" s="6"/>
      <c r="C1161" s="6"/>
      <c r="D1161" s="6"/>
      <c r="E1161" s="6"/>
      <c r="F1161" s="6"/>
      <c r="G1161" s="6"/>
      <c r="H1161" s="6"/>
      <c r="I1161" s="6"/>
      <c r="J1161" s="451"/>
      <c r="K1161" s="451"/>
      <c r="L1161" s="451"/>
      <c r="M1161" s="6"/>
    </row>
    <row r="1162" spans="1:13" x14ac:dyDescent="0.3">
      <c r="A1162" s="124"/>
      <c r="B1162" s="6"/>
      <c r="C1162" s="6"/>
      <c r="D1162" s="6"/>
      <c r="E1162" s="112"/>
      <c r="F1162" s="112"/>
      <c r="J1162" s="444"/>
      <c r="K1162" s="444"/>
      <c r="L1162" s="444"/>
      <c r="M1162" s="6"/>
    </row>
    <row r="1163" spans="1:13" x14ac:dyDescent="0.3">
      <c r="A1163" s="6"/>
      <c r="B1163" s="124"/>
      <c r="C1163" s="124"/>
      <c r="D1163" s="124"/>
      <c r="E1163" s="112"/>
      <c r="F1163" s="112"/>
      <c r="M1163" s="6"/>
    </row>
    <row r="1164" spans="1:13" x14ac:dyDescent="0.3">
      <c r="A1164" s="76"/>
      <c r="B1164" s="6"/>
      <c r="C1164" s="6"/>
      <c r="D1164" s="6"/>
      <c r="E1164" s="112"/>
      <c r="F1164" s="112"/>
    </row>
    <row r="1165" spans="1:13" x14ac:dyDescent="0.3">
      <c r="A1165" s="176"/>
      <c r="B1165" s="124"/>
      <c r="C1165" s="124"/>
      <c r="D1165" s="124"/>
      <c r="E1165" s="112"/>
      <c r="F1165" s="112"/>
      <c r="J1165" s="444"/>
      <c r="K1165" s="444"/>
      <c r="L1165" s="444"/>
    </row>
    <row r="1166" spans="1:13" x14ac:dyDescent="0.3">
      <c r="A1166" s="176"/>
      <c r="B1166" s="6"/>
      <c r="C1166" s="6"/>
      <c r="D1166" s="6"/>
      <c r="E1166" s="112"/>
      <c r="F1166" s="112"/>
      <c r="J1166" s="444"/>
      <c r="K1166" s="444"/>
      <c r="L1166" s="444"/>
      <c r="M1166" s="159"/>
    </row>
    <row r="1167" spans="1:13" x14ac:dyDescent="0.3">
      <c r="B1167" s="76"/>
      <c r="C1167" s="76"/>
      <c r="D1167" s="76"/>
      <c r="E1167" s="76"/>
      <c r="F1167" s="76"/>
      <c r="G1167" s="76"/>
      <c r="H1167" s="76"/>
      <c r="I1167" s="76"/>
      <c r="K1167" s="444"/>
      <c r="L1167" s="444"/>
      <c r="M1167" s="13"/>
    </row>
    <row r="1168" spans="1:13" x14ac:dyDescent="0.3">
      <c r="A1168" s="6"/>
      <c r="B1168" s="176"/>
      <c r="C1168" s="176"/>
      <c r="D1168" s="176"/>
      <c r="E1168" s="176"/>
      <c r="F1168" s="176"/>
      <c r="G1168" s="176"/>
      <c r="H1168" s="176"/>
      <c r="I1168" s="176"/>
      <c r="K1168" s="447"/>
      <c r="L1168" s="444"/>
      <c r="M1168" s="13"/>
    </row>
    <row r="1169" spans="1:13" x14ac:dyDescent="0.3">
      <c r="A1169" s="159"/>
      <c r="B1169" s="176"/>
      <c r="C1169" s="176"/>
      <c r="D1169" s="176"/>
      <c r="E1169" s="176"/>
      <c r="F1169" s="176"/>
      <c r="G1169" s="176"/>
      <c r="H1169" s="176"/>
      <c r="I1169" s="176"/>
      <c r="J1169" s="444"/>
      <c r="K1169" s="444"/>
      <c r="L1169" s="444"/>
      <c r="M1169" s="112"/>
    </row>
    <row r="1170" spans="1:13" x14ac:dyDescent="0.3">
      <c r="A1170" s="136"/>
      <c r="M1170" s="178"/>
    </row>
    <row r="1171" spans="1:13" x14ac:dyDescent="0.3">
      <c r="A1171" s="13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M1171" s="178"/>
    </row>
    <row r="1172" spans="1:13" x14ac:dyDescent="0.3">
      <c r="A1172" s="52"/>
      <c r="B1172" s="159"/>
      <c r="C1172" s="159"/>
      <c r="D1172" s="159"/>
      <c r="E1172" s="159"/>
      <c r="F1172" s="159"/>
      <c r="G1172" s="159"/>
      <c r="H1172" s="159"/>
      <c r="I1172" s="159"/>
      <c r="J1172" s="159"/>
      <c r="K1172" s="159"/>
      <c r="L1172" s="159"/>
      <c r="M1172" s="112"/>
    </row>
    <row r="1173" spans="1:13" x14ac:dyDescent="0.3">
      <c r="A1173" s="52"/>
      <c r="B1173" s="448"/>
      <c r="C1173" s="448"/>
      <c r="D1173" s="448"/>
      <c r="E1173" s="448"/>
      <c r="F1173" s="448"/>
      <c r="G1173" s="448"/>
      <c r="H1173" s="445"/>
      <c r="I1173" s="445"/>
      <c r="J1173" s="448"/>
      <c r="K1173" s="448"/>
      <c r="L1173" s="448"/>
      <c r="M1173" s="112"/>
    </row>
    <row r="1174" spans="1:13" x14ac:dyDescent="0.3">
      <c r="A1174" s="52"/>
      <c r="B1174" s="448"/>
      <c r="C1174" s="448"/>
      <c r="D1174" s="448"/>
      <c r="E1174" s="448"/>
      <c r="F1174" s="448"/>
      <c r="G1174" s="448"/>
      <c r="H1174" s="445"/>
      <c r="I1174" s="445"/>
      <c r="J1174" s="448"/>
      <c r="K1174" s="448"/>
      <c r="L1174" s="448"/>
      <c r="M1174" s="112"/>
    </row>
    <row r="1175" spans="1:13" x14ac:dyDescent="0.3">
      <c r="B1175" s="444"/>
      <c r="C1175" s="444"/>
      <c r="D1175" s="444"/>
      <c r="E1175" s="444"/>
      <c r="F1175" s="444"/>
      <c r="G1175" s="444"/>
      <c r="H1175" s="445"/>
      <c r="I1175" s="445"/>
      <c r="K1175" s="178"/>
      <c r="L1175" s="112"/>
      <c r="M1175" s="112"/>
    </row>
    <row r="1176" spans="1:13" x14ac:dyDescent="0.3">
      <c r="B1176" s="444"/>
      <c r="C1176" s="444"/>
      <c r="D1176" s="444"/>
      <c r="E1176" s="444"/>
      <c r="F1176" s="444"/>
      <c r="G1176" s="444"/>
      <c r="H1176" s="445"/>
      <c r="I1176" s="445"/>
      <c r="K1176" s="178"/>
      <c r="L1176" s="178"/>
      <c r="M1176" s="112"/>
    </row>
    <row r="1177" spans="1:13" x14ac:dyDescent="0.3">
      <c r="B1177" s="444"/>
      <c r="C1177" s="444"/>
      <c r="D1177" s="444"/>
      <c r="E1177" s="444"/>
      <c r="F1177" s="444"/>
      <c r="G1177" s="444"/>
      <c r="H1177" s="445"/>
      <c r="I1177" s="445"/>
      <c r="K1177" s="112"/>
      <c r="L1177" s="178"/>
      <c r="M1177" s="112"/>
    </row>
    <row r="1178" spans="1:13" x14ac:dyDescent="0.3">
      <c r="B1178" s="444"/>
      <c r="C1178" s="444"/>
      <c r="D1178" s="444"/>
      <c r="E1178" s="444"/>
      <c r="F1178" s="444"/>
      <c r="G1178" s="444"/>
      <c r="H1178" s="444"/>
      <c r="I1178" s="444"/>
      <c r="K1178" s="112"/>
      <c r="L1178" s="112"/>
      <c r="M1178" s="178"/>
    </row>
    <row r="1179" spans="1:13" x14ac:dyDescent="0.3">
      <c r="B1179" s="444"/>
      <c r="C1179" s="444"/>
      <c r="D1179" s="444"/>
      <c r="E1179" s="444"/>
      <c r="F1179" s="444"/>
      <c r="G1179" s="444"/>
      <c r="H1179" s="444"/>
      <c r="I1179" s="444"/>
      <c r="K1179" s="112"/>
      <c r="L1179" s="112"/>
      <c r="M1179" s="76"/>
    </row>
    <row r="1180" spans="1:13" x14ac:dyDescent="0.3">
      <c r="B1180" s="444"/>
      <c r="C1180" s="444"/>
      <c r="D1180" s="444"/>
      <c r="E1180" s="444"/>
      <c r="F1180" s="444"/>
      <c r="G1180" s="444"/>
      <c r="H1180" s="444"/>
      <c r="I1180" s="444"/>
      <c r="K1180" s="112"/>
      <c r="L1180" s="112"/>
      <c r="M1180" s="159"/>
    </row>
    <row r="1181" spans="1:13" x14ac:dyDescent="0.3">
      <c r="B1181" s="444"/>
      <c r="C1181" s="444"/>
      <c r="D1181" s="444"/>
      <c r="E1181" s="444"/>
      <c r="F1181" s="444"/>
      <c r="G1181" s="444"/>
      <c r="H1181" s="444"/>
      <c r="I1181" s="444"/>
      <c r="K1181" s="112"/>
      <c r="L1181" s="112"/>
    </row>
    <row r="1182" spans="1:13" x14ac:dyDescent="0.3">
      <c r="B1182" s="444"/>
      <c r="C1182" s="444"/>
      <c r="D1182" s="444"/>
      <c r="E1182" s="444"/>
      <c r="F1182" s="444"/>
      <c r="G1182" s="444"/>
      <c r="H1182" s="444"/>
      <c r="I1182" s="444"/>
      <c r="K1182" s="112"/>
      <c r="L1182" s="112"/>
      <c r="M1182" s="6"/>
    </row>
    <row r="1183" spans="1:13" x14ac:dyDescent="0.3">
      <c r="A1183" s="159"/>
      <c r="B1183" s="444"/>
      <c r="C1183" s="444"/>
      <c r="D1183" s="444"/>
      <c r="E1183" s="444"/>
      <c r="F1183" s="444"/>
      <c r="G1183" s="444"/>
      <c r="H1183" s="444"/>
      <c r="I1183" s="444"/>
      <c r="K1183" s="112"/>
      <c r="L1183" s="112"/>
      <c r="M1183" s="6"/>
    </row>
    <row r="1184" spans="1:13" x14ac:dyDescent="0.3">
      <c r="B1184" s="444"/>
      <c r="C1184" s="444"/>
      <c r="D1184" s="444"/>
      <c r="E1184" s="444"/>
      <c r="F1184" s="444"/>
      <c r="G1184" s="444"/>
      <c r="H1184" s="444"/>
      <c r="I1184" s="444"/>
      <c r="K1184" s="178"/>
      <c r="L1184" s="178"/>
      <c r="M1184" s="6"/>
    </row>
    <row r="1185" spans="1:13" x14ac:dyDescent="0.3">
      <c r="A1185" s="179"/>
      <c r="B1185" s="444"/>
      <c r="C1185" s="444"/>
      <c r="D1185" s="444"/>
      <c r="E1185" s="444"/>
      <c r="F1185" s="444"/>
      <c r="G1185" s="444"/>
      <c r="J1185" s="445"/>
      <c r="K1185" s="445"/>
      <c r="L1185" s="445"/>
      <c r="M1185" s="76"/>
    </row>
    <row r="1186" spans="1:13" x14ac:dyDescent="0.3">
      <c r="B1186" s="159"/>
      <c r="C1186" s="159"/>
      <c r="D1186" s="159"/>
      <c r="E1186" s="159"/>
      <c r="F1186" s="159"/>
      <c r="G1186" s="159"/>
      <c r="H1186" s="159"/>
      <c r="I1186" s="159"/>
      <c r="J1186" s="159"/>
      <c r="K1186" s="159"/>
      <c r="L1186" s="159"/>
      <c r="M1186" s="6"/>
    </row>
    <row r="1187" spans="1:13" ht="23.4" x14ac:dyDescent="0.45">
      <c r="A1187" s="52"/>
      <c r="B1187" s="446"/>
      <c r="C1187" s="446"/>
      <c r="D1187" s="446"/>
      <c r="E1187" s="446"/>
      <c r="F1187" s="446"/>
      <c r="G1187" s="446"/>
      <c r="H1187" s="446"/>
      <c r="I1187" s="446"/>
      <c r="J1187" s="52"/>
      <c r="M1187" s="28"/>
    </row>
    <row r="1188" spans="1:13" x14ac:dyDescent="0.3">
      <c r="B1188" s="444"/>
      <c r="C1188" s="444"/>
      <c r="D1188" s="444"/>
      <c r="E1188" s="444"/>
      <c r="F1188" s="444"/>
      <c r="G1188" s="444"/>
      <c r="H1188" s="444"/>
      <c r="I1188" s="444"/>
      <c r="J1188" s="444"/>
      <c r="K1188" s="444"/>
      <c r="L1188" s="444"/>
      <c r="M1188" s="13"/>
    </row>
    <row r="1189" spans="1:13" x14ac:dyDescent="0.3">
      <c r="B1189" s="454"/>
      <c r="C1189" s="454"/>
      <c r="D1189" s="454"/>
      <c r="E1189" s="454"/>
      <c r="K1189" s="444"/>
      <c r="L1189" s="444"/>
      <c r="M1189" s="13"/>
    </row>
    <row r="1190" spans="1:13" x14ac:dyDescent="0.3">
      <c r="A1190" s="52"/>
      <c r="B1190" s="454"/>
      <c r="C1190" s="454"/>
      <c r="D1190" s="454"/>
      <c r="E1190" s="454"/>
      <c r="F1190" s="52"/>
      <c r="G1190" s="52"/>
      <c r="H1190" s="52"/>
      <c r="I1190" s="52"/>
      <c r="J1190" s="52"/>
      <c r="K1190" s="444"/>
      <c r="L1190" s="444"/>
      <c r="M1190" s="34"/>
    </row>
    <row r="1191" spans="1:13" x14ac:dyDescent="0.3">
      <c r="A1191" s="13"/>
      <c r="B1191" s="455"/>
      <c r="C1191" s="455"/>
      <c r="D1191" s="455"/>
      <c r="E1191" s="455"/>
      <c r="F1191" s="445"/>
      <c r="G1191" s="445"/>
      <c r="H1191" s="445"/>
      <c r="I1191" s="445"/>
      <c r="J1191" s="445"/>
      <c r="K1191" s="445"/>
      <c r="L1191" s="445"/>
      <c r="M1191" s="34"/>
    </row>
    <row r="1192" spans="1:13" x14ac:dyDescent="0.3">
      <c r="A1192" s="13"/>
      <c r="K1192" s="6"/>
      <c r="L1192" s="6"/>
      <c r="M1192" s="74"/>
    </row>
    <row r="1193" spans="1:13" ht="23.4" x14ac:dyDescent="0.45">
      <c r="A1193" s="6"/>
      <c r="B1193" s="52"/>
      <c r="C1193" s="52"/>
      <c r="D1193" s="52"/>
      <c r="E1193" s="52"/>
      <c r="F1193" s="456"/>
      <c r="G1193" s="456"/>
      <c r="H1193" s="456"/>
      <c r="I1193" s="456"/>
      <c r="J1193" s="456"/>
      <c r="K1193" s="181"/>
      <c r="L1193" s="28"/>
      <c r="M1193" s="34"/>
    </row>
    <row r="1194" spans="1:13" x14ac:dyDescent="0.3">
      <c r="B1194" s="13"/>
      <c r="C1194" s="13"/>
      <c r="D1194" s="13"/>
      <c r="E1194" s="13"/>
      <c r="F1194" s="13"/>
      <c r="G1194" s="13"/>
      <c r="H1194" s="13"/>
      <c r="I1194" s="13"/>
      <c r="J1194" s="13"/>
      <c r="K1194" s="448"/>
      <c r="L1194" s="448"/>
      <c r="M1194" s="74"/>
    </row>
    <row r="1195" spans="1:13" x14ac:dyDescent="0.3">
      <c r="A1195" s="182"/>
      <c r="B1195" s="13"/>
      <c r="C1195" s="13"/>
      <c r="D1195" s="13"/>
      <c r="E1195" s="13"/>
      <c r="F1195" s="13"/>
      <c r="G1195" s="13"/>
      <c r="H1195" s="13"/>
      <c r="I1195" s="13"/>
      <c r="J1195" s="13"/>
      <c r="K1195" s="448"/>
      <c r="L1195" s="448"/>
      <c r="M1195" s="34"/>
    </row>
    <row r="1196" spans="1:13" x14ac:dyDescent="0.3">
      <c r="B1196" s="6"/>
      <c r="C1196" s="6"/>
      <c r="D1196" s="6"/>
      <c r="E1196" s="6"/>
      <c r="F1196" s="6"/>
      <c r="G1196" s="6"/>
      <c r="H1196" s="6"/>
      <c r="I1196" s="6"/>
      <c r="J1196" s="6"/>
      <c r="K1196" s="452"/>
      <c r="L1196" s="452"/>
      <c r="M1196" s="34"/>
    </row>
    <row r="1197" spans="1:13" x14ac:dyDescent="0.3">
      <c r="A1197" s="182"/>
      <c r="K1197" s="452"/>
      <c r="L1197" s="452"/>
      <c r="M1197" s="34"/>
    </row>
    <row r="1198" spans="1:13" x14ac:dyDescent="0.3">
      <c r="A1198" s="182"/>
      <c r="B1198" s="182"/>
      <c r="C1198" s="183"/>
      <c r="D1198" s="184"/>
      <c r="E1198" s="184"/>
      <c r="K1198" s="453"/>
      <c r="L1198" s="453"/>
      <c r="M1198" s="34"/>
    </row>
    <row r="1199" spans="1:13" x14ac:dyDescent="0.3">
      <c r="A1199" s="182"/>
      <c r="B1199" s="185"/>
      <c r="C1199" s="184"/>
      <c r="D1199" s="186"/>
      <c r="E1199" s="184"/>
      <c r="F1199" s="184"/>
      <c r="G1199" s="184"/>
      <c r="H1199" s="184"/>
      <c r="I1199" s="187"/>
      <c r="K1199" s="452"/>
      <c r="L1199" s="452"/>
      <c r="M1199" s="34"/>
    </row>
    <row r="1200" spans="1:13" x14ac:dyDescent="0.3">
      <c r="A1200" s="160"/>
      <c r="B1200" s="182"/>
      <c r="C1200" s="183"/>
      <c r="D1200" s="188"/>
      <c r="E1200" s="188"/>
      <c r="I1200" s="189"/>
      <c r="K1200" s="453"/>
      <c r="L1200" s="453"/>
      <c r="M1200" s="34"/>
    </row>
    <row r="1201" spans="1:13" x14ac:dyDescent="0.3">
      <c r="A1201" s="161"/>
      <c r="B1201" s="185"/>
      <c r="C1201" s="184"/>
      <c r="D1201" s="184"/>
      <c r="E1201" s="184"/>
      <c r="F1201" s="184"/>
      <c r="G1201" s="184"/>
      <c r="H1201" s="184"/>
      <c r="I1201" s="189"/>
      <c r="K1201" s="452"/>
      <c r="L1201" s="452"/>
      <c r="M1201" s="34"/>
    </row>
    <row r="1202" spans="1:13" ht="14.4" x14ac:dyDescent="0.3">
      <c r="A1202" s="162"/>
      <c r="B1202" s="190"/>
      <c r="C1202" s="187"/>
      <c r="D1202" s="191"/>
      <c r="E1202" s="192"/>
      <c r="F1202" s="128"/>
      <c r="G1202" s="128"/>
      <c r="H1202" s="128"/>
      <c r="I1202" s="189"/>
      <c r="K1202" s="452"/>
      <c r="L1202" s="452"/>
      <c r="M1202" s="34"/>
    </row>
    <row r="1203" spans="1:13" ht="14.4" x14ac:dyDescent="0.3">
      <c r="A1203" s="163"/>
      <c r="B1203" s="164"/>
      <c r="C1203" s="165"/>
      <c r="D1203" s="166"/>
      <c r="E1203" s="166"/>
      <c r="F1203" s="128"/>
      <c r="G1203" s="128"/>
      <c r="H1203" s="128"/>
      <c r="I1203" s="167"/>
      <c r="K1203" s="452"/>
      <c r="L1203" s="452"/>
      <c r="M1203" s="34"/>
    </row>
    <row r="1204" spans="1:13" ht="14.4" x14ac:dyDescent="0.3">
      <c r="A1204" s="168"/>
      <c r="B1204" s="169"/>
      <c r="C1204" s="165"/>
      <c r="D1204" s="170"/>
      <c r="E1204" s="128"/>
      <c r="F1204" s="128"/>
      <c r="G1204" s="128"/>
      <c r="H1204" s="128"/>
      <c r="I1204" s="167"/>
      <c r="J1204" s="6"/>
      <c r="K1204" s="452"/>
      <c r="L1204" s="452"/>
      <c r="M1204" s="74"/>
    </row>
    <row r="1205" spans="1:13" ht="14.4" x14ac:dyDescent="0.3">
      <c r="A1205" s="160"/>
      <c r="B1205" s="169"/>
      <c r="C1205" s="165"/>
      <c r="D1205" s="170"/>
      <c r="E1205" s="128"/>
      <c r="F1205" s="128"/>
      <c r="G1205" s="128"/>
      <c r="H1205" s="128"/>
      <c r="I1205" s="167"/>
      <c r="J1205" s="6"/>
      <c r="K1205" s="452"/>
      <c r="L1205" s="452"/>
      <c r="M1205" s="6"/>
    </row>
    <row r="1206" spans="1:13" ht="14.4" x14ac:dyDescent="0.3">
      <c r="B1206" s="169"/>
      <c r="C1206" s="128"/>
      <c r="D1206" s="170"/>
      <c r="E1206" s="128"/>
      <c r="F1206" s="128"/>
      <c r="G1206" s="128"/>
      <c r="H1206" s="128"/>
      <c r="I1206" s="167"/>
      <c r="K1206" s="452"/>
      <c r="L1206" s="452"/>
      <c r="M1206" s="6"/>
    </row>
    <row r="1207" spans="1:13" ht="14.4" x14ac:dyDescent="0.3">
      <c r="A1207" s="6"/>
      <c r="B1207" s="169"/>
      <c r="C1207" s="128"/>
      <c r="D1207" s="128"/>
      <c r="E1207" s="128"/>
      <c r="F1207" s="128"/>
      <c r="G1207" s="128"/>
      <c r="H1207" s="128"/>
      <c r="I1207" s="167"/>
      <c r="K1207" s="452"/>
      <c r="L1207" s="452"/>
      <c r="M1207" s="6"/>
    </row>
    <row r="1208" spans="1:13" x14ac:dyDescent="0.3">
      <c r="A1208" s="6"/>
      <c r="B1208" s="40"/>
      <c r="C1208" s="160"/>
      <c r="D1208" s="40"/>
      <c r="K1208" s="452"/>
      <c r="L1208" s="452"/>
      <c r="M1208" s="6"/>
    </row>
    <row r="1209" spans="1:13" x14ac:dyDescent="0.3">
      <c r="B1209" s="171"/>
      <c r="C1209" s="160"/>
      <c r="D1209" s="40"/>
      <c r="E1209" s="172"/>
      <c r="K1209" s="452"/>
      <c r="L1209" s="452"/>
      <c r="M1209" s="124"/>
    </row>
    <row r="1210" spans="1:13" x14ac:dyDescent="0.3">
      <c r="B1210" s="6"/>
      <c r="C1210" s="6"/>
      <c r="D1210" s="6"/>
      <c r="E1210" s="6"/>
      <c r="F1210" s="6"/>
      <c r="G1210" s="445"/>
      <c r="H1210" s="445"/>
      <c r="I1210" s="445"/>
      <c r="J1210" s="445"/>
      <c r="K1210" s="453"/>
      <c r="L1210" s="453"/>
      <c r="M1210" s="173"/>
    </row>
    <row r="1211" spans="1:13" x14ac:dyDescent="0.3">
      <c r="B1211" s="6"/>
      <c r="C1211" s="6"/>
      <c r="D1211" s="6"/>
      <c r="E1211" s="6"/>
      <c r="F1211" s="6"/>
      <c r="G1211" s="444"/>
      <c r="H1211" s="444"/>
      <c r="I1211" s="444"/>
      <c r="J1211" s="444"/>
      <c r="K1211" s="444"/>
      <c r="L1211" s="444"/>
      <c r="M1211" s="173"/>
    </row>
    <row r="1212" spans="1:13" x14ac:dyDescent="0.3">
      <c r="A1212" s="124"/>
      <c r="B1212" s="449"/>
      <c r="C1212" s="449"/>
      <c r="D1212" s="449"/>
      <c r="E1212" s="449"/>
      <c r="F1212" s="449"/>
      <c r="G1212" s="444"/>
      <c r="H1212" s="444"/>
      <c r="I1212" s="444"/>
      <c r="J1212" s="444"/>
      <c r="K1212" s="444"/>
      <c r="L1212" s="444"/>
      <c r="M1212" s="174"/>
    </row>
    <row r="1213" spans="1:13" x14ac:dyDescent="0.3">
      <c r="A1213" s="124"/>
      <c r="B1213" s="449"/>
      <c r="C1213" s="449"/>
      <c r="D1213" s="449"/>
      <c r="E1213" s="449"/>
      <c r="F1213" s="449"/>
      <c r="G1213" s="444"/>
      <c r="H1213" s="444"/>
      <c r="I1213" s="444"/>
      <c r="J1213" s="444"/>
      <c r="K1213" s="444"/>
      <c r="L1213" s="444"/>
      <c r="M1213" s="136"/>
    </row>
    <row r="1214" spans="1:13" x14ac:dyDescent="0.3">
      <c r="A1214" s="124"/>
      <c r="B1214" s="449"/>
      <c r="C1214" s="449"/>
      <c r="D1214" s="449"/>
      <c r="E1214" s="449"/>
      <c r="F1214" s="449"/>
      <c r="G1214" s="444"/>
      <c r="H1214" s="444"/>
      <c r="I1214" s="444"/>
      <c r="J1214" s="444"/>
      <c r="K1214" s="444"/>
      <c r="L1214" s="444"/>
      <c r="M1214" s="6"/>
    </row>
    <row r="1215" spans="1:13" x14ac:dyDescent="0.3">
      <c r="A1215" s="124"/>
      <c r="B1215" s="124"/>
      <c r="C1215" s="124"/>
      <c r="D1215" s="124"/>
      <c r="E1215" s="124"/>
      <c r="F1215" s="124"/>
      <c r="G1215" s="449"/>
      <c r="H1215" s="449"/>
      <c r="I1215" s="449"/>
      <c r="J1215" s="449"/>
      <c r="K1215" s="449"/>
      <c r="L1215" s="449"/>
    </row>
    <row r="1216" spans="1:13" x14ac:dyDescent="0.3">
      <c r="A1216" s="6"/>
      <c r="B1216" s="124"/>
      <c r="C1216" s="124"/>
      <c r="D1216" s="124"/>
      <c r="E1216" s="124"/>
      <c r="F1216" s="124"/>
      <c r="G1216" s="175"/>
      <c r="H1216" s="175"/>
      <c r="I1216" s="175"/>
      <c r="J1216" s="173"/>
      <c r="K1216" s="173"/>
      <c r="L1216" s="173"/>
    </row>
    <row r="1217" spans="1:13" x14ac:dyDescent="0.3">
      <c r="A1217" s="6"/>
      <c r="B1217" s="124"/>
      <c r="C1217" s="124"/>
      <c r="D1217" s="124"/>
      <c r="E1217" s="124"/>
      <c r="F1217" s="124"/>
      <c r="G1217" s="175"/>
      <c r="H1217" s="175"/>
      <c r="I1217" s="175"/>
      <c r="J1217" s="173"/>
      <c r="K1217" s="173"/>
      <c r="L1217" s="173"/>
      <c r="M1217" s="6"/>
    </row>
    <row r="1218" spans="1:13" x14ac:dyDescent="0.3">
      <c r="A1218" s="124"/>
      <c r="B1218" s="124"/>
      <c r="C1218" s="124"/>
      <c r="D1218" s="124"/>
      <c r="E1218" s="124"/>
      <c r="F1218" s="124"/>
      <c r="G1218" s="450"/>
      <c r="H1218" s="450"/>
      <c r="I1218" s="450"/>
      <c r="J1218" s="450"/>
      <c r="K1218" s="450"/>
      <c r="L1218" s="450"/>
      <c r="M1218" s="6"/>
    </row>
    <row r="1219" spans="1:13" x14ac:dyDescent="0.3">
      <c r="A1219" s="6"/>
      <c r="B1219" s="6"/>
      <c r="C1219" s="6"/>
      <c r="D1219" s="6"/>
      <c r="E1219" s="6"/>
      <c r="F1219" s="6"/>
      <c r="G1219" s="6"/>
      <c r="H1219" s="6"/>
      <c r="I1219" s="6"/>
      <c r="J1219" s="451"/>
      <c r="K1219" s="451"/>
      <c r="L1219" s="451"/>
      <c r="M1219" s="6"/>
    </row>
    <row r="1220" spans="1:13" x14ac:dyDescent="0.3">
      <c r="A1220" s="124"/>
      <c r="B1220" s="6"/>
      <c r="C1220" s="6"/>
      <c r="D1220" s="6"/>
      <c r="E1220" s="112"/>
      <c r="F1220" s="112"/>
      <c r="J1220" s="444"/>
      <c r="K1220" s="444"/>
      <c r="L1220" s="444"/>
      <c r="M1220" s="6"/>
    </row>
    <row r="1221" spans="1:13" x14ac:dyDescent="0.3">
      <c r="A1221" s="6"/>
      <c r="B1221" s="124"/>
      <c r="C1221" s="124"/>
      <c r="D1221" s="124"/>
      <c r="E1221" s="112"/>
      <c r="F1221" s="112"/>
      <c r="M1221" s="6"/>
    </row>
    <row r="1222" spans="1:13" x14ac:dyDescent="0.3">
      <c r="A1222" s="76"/>
      <c r="B1222" s="6"/>
      <c r="C1222" s="6"/>
      <c r="D1222" s="6"/>
      <c r="E1222" s="112"/>
      <c r="F1222" s="112"/>
    </row>
    <row r="1223" spans="1:13" x14ac:dyDescent="0.3">
      <c r="A1223" s="176"/>
      <c r="B1223" s="124"/>
      <c r="C1223" s="124"/>
      <c r="D1223" s="124"/>
      <c r="E1223" s="112"/>
      <c r="F1223" s="112"/>
      <c r="J1223" s="444"/>
      <c r="K1223" s="444"/>
      <c r="L1223" s="444"/>
    </row>
    <row r="1224" spans="1:13" x14ac:dyDescent="0.3">
      <c r="A1224" s="176"/>
      <c r="B1224" s="6"/>
      <c r="C1224" s="6"/>
      <c r="D1224" s="6"/>
      <c r="E1224" s="112"/>
      <c r="F1224" s="112"/>
      <c r="J1224" s="444"/>
      <c r="K1224" s="444"/>
      <c r="L1224" s="444"/>
      <c r="M1224" s="159"/>
    </row>
    <row r="1225" spans="1:13" x14ac:dyDescent="0.3">
      <c r="B1225" s="76"/>
      <c r="C1225" s="76"/>
      <c r="D1225" s="76"/>
      <c r="E1225" s="76"/>
      <c r="F1225" s="76"/>
      <c r="G1225" s="76"/>
      <c r="H1225" s="76"/>
      <c r="I1225" s="76"/>
      <c r="K1225" s="444"/>
      <c r="L1225" s="444"/>
      <c r="M1225" s="13"/>
    </row>
    <row r="1226" spans="1:13" x14ac:dyDescent="0.3">
      <c r="A1226" s="6"/>
      <c r="B1226" s="176"/>
      <c r="C1226" s="176"/>
      <c r="D1226" s="176"/>
      <c r="E1226" s="176"/>
      <c r="F1226" s="176"/>
      <c r="G1226" s="176"/>
      <c r="H1226" s="176"/>
      <c r="I1226" s="176"/>
      <c r="K1226" s="447"/>
      <c r="L1226" s="444"/>
      <c r="M1226" s="13"/>
    </row>
    <row r="1227" spans="1:13" x14ac:dyDescent="0.3">
      <c r="A1227" s="159"/>
      <c r="B1227" s="176"/>
      <c r="C1227" s="176"/>
      <c r="D1227" s="176"/>
      <c r="E1227" s="176"/>
      <c r="F1227" s="176"/>
      <c r="G1227" s="176"/>
      <c r="H1227" s="176"/>
      <c r="I1227" s="176"/>
      <c r="J1227" s="444"/>
      <c r="K1227" s="444"/>
      <c r="L1227" s="444"/>
      <c r="M1227" s="112"/>
    </row>
    <row r="1228" spans="1:13" x14ac:dyDescent="0.3">
      <c r="A1228" s="136"/>
      <c r="M1228" s="178"/>
    </row>
    <row r="1229" spans="1:13" x14ac:dyDescent="0.3">
      <c r="A1229" s="13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M1229" s="178"/>
    </row>
    <row r="1230" spans="1:13" x14ac:dyDescent="0.3">
      <c r="A1230" s="52"/>
      <c r="B1230" s="159"/>
      <c r="C1230" s="159"/>
      <c r="D1230" s="159"/>
      <c r="E1230" s="159"/>
      <c r="F1230" s="159"/>
      <c r="G1230" s="159"/>
      <c r="H1230" s="159"/>
      <c r="I1230" s="159"/>
      <c r="J1230" s="159"/>
      <c r="K1230" s="159"/>
      <c r="L1230" s="159"/>
      <c r="M1230" s="112"/>
    </row>
    <row r="1231" spans="1:13" x14ac:dyDescent="0.3">
      <c r="A1231" s="52"/>
      <c r="B1231" s="448"/>
      <c r="C1231" s="448"/>
      <c r="D1231" s="448"/>
      <c r="E1231" s="448"/>
      <c r="F1231" s="448"/>
      <c r="G1231" s="448"/>
      <c r="H1231" s="445"/>
      <c r="I1231" s="445"/>
      <c r="J1231" s="448"/>
      <c r="K1231" s="448"/>
      <c r="L1231" s="448"/>
      <c r="M1231" s="112"/>
    </row>
    <row r="1232" spans="1:13" x14ac:dyDescent="0.3">
      <c r="A1232" s="52"/>
      <c r="B1232" s="448"/>
      <c r="C1232" s="448"/>
      <c r="D1232" s="448"/>
      <c r="E1232" s="448"/>
      <c r="F1232" s="448"/>
      <c r="G1232" s="448"/>
      <c r="H1232" s="445"/>
      <c r="I1232" s="445"/>
      <c r="J1232" s="448"/>
      <c r="K1232" s="448"/>
      <c r="L1232" s="448"/>
      <c r="M1232" s="112"/>
    </row>
    <row r="1233" spans="1:13" x14ac:dyDescent="0.3">
      <c r="B1233" s="444"/>
      <c r="C1233" s="444"/>
      <c r="D1233" s="444"/>
      <c r="E1233" s="444"/>
      <c r="F1233" s="444"/>
      <c r="G1233" s="444"/>
      <c r="H1233" s="445"/>
      <c r="I1233" s="445"/>
      <c r="K1233" s="178"/>
      <c r="L1233" s="112"/>
      <c r="M1233" s="112"/>
    </row>
    <row r="1234" spans="1:13" x14ac:dyDescent="0.3">
      <c r="B1234" s="444"/>
      <c r="C1234" s="444"/>
      <c r="D1234" s="444"/>
      <c r="E1234" s="444"/>
      <c r="F1234" s="444"/>
      <c r="G1234" s="444"/>
      <c r="H1234" s="445"/>
      <c r="I1234" s="445"/>
      <c r="K1234" s="178"/>
      <c r="L1234" s="178"/>
      <c r="M1234" s="112"/>
    </row>
    <row r="1235" spans="1:13" x14ac:dyDescent="0.3">
      <c r="B1235" s="444"/>
      <c r="C1235" s="444"/>
      <c r="D1235" s="444"/>
      <c r="E1235" s="444"/>
      <c r="F1235" s="444"/>
      <c r="G1235" s="444"/>
      <c r="H1235" s="445"/>
      <c r="I1235" s="445"/>
      <c r="K1235" s="112"/>
      <c r="L1235" s="178"/>
      <c r="M1235" s="112"/>
    </row>
    <row r="1236" spans="1:13" x14ac:dyDescent="0.3">
      <c r="B1236" s="444"/>
      <c r="C1236" s="444"/>
      <c r="D1236" s="444"/>
      <c r="E1236" s="444"/>
      <c r="F1236" s="444"/>
      <c r="G1236" s="444"/>
      <c r="H1236" s="444"/>
      <c r="I1236" s="444"/>
      <c r="K1236" s="112"/>
      <c r="L1236" s="112"/>
      <c r="M1236" s="178"/>
    </row>
    <row r="1237" spans="1:13" x14ac:dyDescent="0.3">
      <c r="B1237" s="444"/>
      <c r="C1237" s="444"/>
      <c r="D1237" s="444"/>
      <c r="E1237" s="444"/>
      <c r="F1237" s="444"/>
      <c r="G1237" s="444"/>
      <c r="H1237" s="444"/>
      <c r="I1237" s="444"/>
      <c r="K1237" s="112"/>
      <c r="L1237" s="112"/>
      <c r="M1237" s="76"/>
    </row>
    <row r="1238" spans="1:13" x14ac:dyDescent="0.3">
      <c r="B1238" s="444"/>
      <c r="C1238" s="444"/>
      <c r="D1238" s="444"/>
      <c r="E1238" s="444"/>
      <c r="F1238" s="444"/>
      <c r="G1238" s="444"/>
      <c r="H1238" s="444"/>
      <c r="I1238" s="444"/>
      <c r="K1238" s="112"/>
      <c r="L1238" s="112"/>
      <c r="M1238" s="159"/>
    </row>
    <row r="1239" spans="1:13" x14ac:dyDescent="0.3">
      <c r="B1239" s="444"/>
      <c r="C1239" s="444"/>
      <c r="D1239" s="444"/>
      <c r="E1239" s="444"/>
      <c r="F1239" s="444"/>
      <c r="G1239" s="444"/>
      <c r="H1239" s="444"/>
      <c r="I1239" s="444"/>
      <c r="K1239" s="112"/>
      <c r="L1239" s="112"/>
    </row>
    <row r="1240" spans="1:13" x14ac:dyDescent="0.3">
      <c r="B1240" s="444"/>
      <c r="C1240" s="444"/>
      <c r="D1240" s="444"/>
      <c r="E1240" s="444"/>
      <c r="F1240" s="444"/>
      <c r="G1240" s="444"/>
      <c r="H1240" s="444"/>
      <c r="I1240" s="444"/>
      <c r="K1240" s="112"/>
      <c r="L1240" s="112"/>
      <c r="M1240" s="6"/>
    </row>
    <row r="1241" spans="1:13" x14ac:dyDescent="0.3">
      <c r="A1241" s="159"/>
      <c r="B1241" s="444"/>
      <c r="C1241" s="444"/>
      <c r="D1241" s="444"/>
      <c r="E1241" s="444"/>
      <c r="F1241" s="444"/>
      <c r="G1241" s="444"/>
      <c r="H1241" s="444"/>
      <c r="I1241" s="444"/>
      <c r="K1241" s="112"/>
      <c r="L1241" s="112"/>
      <c r="M1241" s="6"/>
    </row>
    <row r="1242" spans="1:13" x14ac:dyDescent="0.3">
      <c r="B1242" s="444"/>
      <c r="C1242" s="444"/>
      <c r="D1242" s="444"/>
      <c r="E1242" s="444"/>
      <c r="F1242" s="444"/>
      <c r="G1242" s="444"/>
      <c r="H1242" s="444"/>
      <c r="I1242" s="444"/>
      <c r="K1242" s="178"/>
      <c r="L1242" s="178"/>
      <c r="M1242" s="6"/>
    </row>
    <row r="1243" spans="1:13" x14ac:dyDescent="0.3">
      <c r="A1243" s="179"/>
      <c r="B1243" s="444"/>
      <c r="C1243" s="444"/>
      <c r="D1243" s="444"/>
      <c r="E1243" s="444"/>
      <c r="F1243" s="444"/>
      <c r="G1243" s="444"/>
      <c r="J1243" s="445"/>
      <c r="K1243" s="445"/>
      <c r="L1243" s="445"/>
      <c r="M1243" s="76"/>
    </row>
    <row r="1244" spans="1:13" x14ac:dyDescent="0.3">
      <c r="B1244" s="159"/>
      <c r="C1244" s="159"/>
      <c r="D1244" s="159"/>
      <c r="E1244" s="159"/>
      <c r="F1244" s="159"/>
      <c r="G1244" s="159"/>
      <c r="H1244" s="159"/>
      <c r="I1244" s="159"/>
      <c r="J1244" s="159"/>
      <c r="K1244" s="159"/>
      <c r="L1244" s="159"/>
      <c r="M1244" s="6"/>
    </row>
    <row r="1245" spans="1:13" ht="23.4" x14ac:dyDescent="0.45">
      <c r="A1245" s="52"/>
      <c r="B1245" s="446"/>
      <c r="C1245" s="446"/>
      <c r="D1245" s="446"/>
      <c r="E1245" s="446"/>
      <c r="F1245" s="446"/>
      <c r="G1245" s="446"/>
      <c r="H1245" s="446"/>
      <c r="I1245" s="446"/>
      <c r="J1245" s="52"/>
      <c r="M1245" s="28"/>
    </row>
    <row r="1246" spans="1:13" x14ac:dyDescent="0.3">
      <c r="B1246" s="444"/>
      <c r="C1246" s="444"/>
      <c r="D1246" s="444"/>
      <c r="E1246" s="444"/>
      <c r="F1246" s="444"/>
      <c r="G1246" s="444"/>
      <c r="H1246" s="444"/>
      <c r="I1246" s="444"/>
      <c r="J1246" s="444"/>
      <c r="K1246" s="444"/>
      <c r="L1246" s="444"/>
      <c r="M1246" s="13"/>
    </row>
    <row r="1247" spans="1:13" x14ac:dyDescent="0.3">
      <c r="B1247" s="454"/>
      <c r="C1247" s="454"/>
      <c r="D1247" s="454"/>
      <c r="E1247" s="454"/>
      <c r="K1247" s="444"/>
      <c r="L1247" s="444"/>
      <c r="M1247" s="13"/>
    </row>
    <row r="1248" spans="1:13" x14ac:dyDescent="0.3">
      <c r="A1248" s="52"/>
      <c r="B1248" s="454"/>
      <c r="C1248" s="454"/>
      <c r="D1248" s="454"/>
      <c r="E1248" s="454"/>
      <c r="F1248" s="52"/>
      <c r="G1248" s="52"/>
      <c r="H1248" s="52"/>
      <c r="I1248" s="52"/>
      <c r="J1248" s="52"/>
      <c r="K1248" s="444"/>
      <c r="L1248" s="444"/>
      <c r="M1248" s="34"/>
    </row>
    <row r="1249" spans="1:13" x14ac:dyDescent="0.3">
      <c r="A1249" s="13"/>
      <c r="B1249" s="455"/>
      <c r="C1249" s="455"/>
      <c r="D1249" s="455"/>
      <c r="E1249" s="455"/>
      <c r="F1249" s="445"/>
      <c r="G1249" s="445"/>
      <c r="H1249" s="445"/>
      <c r="I1249" s="445"/>
      <c r="J1249" s="445"/>
      <c r="K1249" s="445"/>
      <c r="L1249" s="445"/>
      <c r="M1249" s="34"/>
    </row>
    <row r="1250" spans="1:13" x14ac:dyDescent="0.3">
      <c r="A1250" s="13"/>
      <c r="K1250" s="6"/>
      <c r="L1250" s="6"/>
      <c r="M1250" s="74"/>
    </row>
    <row r="1251" spans="1:13" ht="23.4" x14ac:dyDescent="0.45">
      <c r="A1251" s="6"/>
      <c r="B1251" s="52"/>
      <c r="C1251" s="52"/>
      <c r="D1251" s="52"/>
      <c r="E1251" s="52"/>
      <c r="F1251" s="456"/>
      <c r="G1251" s="456"/>
      <c r="H1251" s="456"/>
      <c r="I1251" s="456"/>
      <c r="J1251" s="456"/>
      <c r="K1251" s="181"/>
      <c r="L1251" s="28"/>
      <c r="M1251" s="34"/>
    </row>
    <row r="1252" spans="1:13" x14ac:dyDescent="0.3">
      <c r="B1252" s="13"/>
      <c r="C1252" s="13"/>
      <c r="D1252" s="13"/>
      <c r="E1252" s="13"/>
      <c r="F1252" s="13"/>
      <c r="G1252" s="13"/>
      <c r="H1252" s="13"/>
      <c r="I1252" s="13"/>
      <c r="J1252" s="13"/>
      <c r="K1252" s="448"/>
      <c r="L1252" s="448"/>
      <c r="M1252" s="74"/>
    </row>
    <row r="1253" spans="1:13" x14ac:dyDescent="0.3">
      <c r="A1253" s="182"/>
      <c r="B1253" s="13"/>
      <c r="C1253" s="13"/>
      <c r="D1253" s="13"/>
      <c r="E1253" s="13"/>
      <c r="F1253" s="13"/>
      <c r="G1253" s="13"/>
      <c r="H1253" s="13"/>
      <c r="I1253" s="13"/>
      <c r="J1253" s="13"/>
      <c r="K1253" s="448"/>
      <c r="L1253" s="448"/>
      <c r="M1253" s="34"/>
    </row>
    <row r="1254" spans="1:13" x14ac:dyDescent="0.3">
      <c r="B1254" s="6"/>
      <c r="C1254" s="6"/>
      <c r="D1254" s="6"/>
      <c r="E1254" s="6"/>
      <c r="F1254" s="6"/>
      <c r="G1254" s="6"/>
      <c r="H1254" s="6"/>
      <c r="I1254" s="6"/>
      <c r="J1254" s="6"/>
      <c r="K1254" s="452"/>
      <c r="L1254" s="452"/>
      <c r="M1254" s="34"/>
    </row>
    <row r="1255" spans="1:13" x14ac:dyDescent="0.3">
      <c r="A1255" s="182"/>
      <c r="K1255" s="452"/>
      <c r="L1255" s="452"/>
      <c r="M1255" s="34"/>
    </row>
    <row r="1256" spans="1:13" x14ac:dyDescent="0.3">
      <c r="A1256" s="182"/>
      <c r="B1256" s="182"/>
      <c r="C1256" s="183"/>
      <c r="D1256" s="184"/>
      <c r="E1256" s="184"/>
      <c r="K1256" s="453"/>
      <c r="L1256" s="453"/>
      <c r="M1256" s="34"/>
    </row>
    <row r="1257" spans="1:13" x14ac:dyDescent="0.3">
      <c r="A1257" s="182"/>
      <c r="B1257" s="185"/>
      <c r="C1257" s="184"/>
      <c r="D1257" s="186"/>
      <c r="E1257" s="184"/>
      <c r="F1257" s="184"/>
      <c r="G1257" s="184"/>
      <c r="H1257" s="184"/>
      <c r="I1257" s="187"/>
      <c r="K1257" s="452"/>
      <c r="L1257" s="452"/>
      <c r="M1257" s="34"/>
    </row>
    <row r="1258" spans="1:13" x14ac:dyDescent="0.3">
      <c r="A1258" s="160"/>
      <c r="B1258" s="182"/>
      <c r="C1258" s="183"/>
      <c r="D1258" s="188"/>
      <c r="E1258" s="188"/>
      <c r="I1258" s="189"/>
      <c r="K1258" s="453"/>
      <c r="L1258" s="453"/>
      <c r="M1258" s="34"/>
    </row>
    <row r="1259" spans="1:13" x14ac:dyDescent="0.3">
      <c r="A1259" s="161"/>
      <c r="B1259" s="185"/>
      <c r="C1259" s="184"/>
      <c r="D1259" s="184"/>
      <c r="E1259" s="184"/>
      <c r="F1259" s="184"/>
      <c r="G1259" s="184"/>
      <c r="H1259" s="184"/>
      <c r="I1259" s="189"/>
      <c r="K1259" s="452"/>
      <c r="L1259" s="452"/>
      <c r="M1259" s="34"/>
    </row>
    <row r="1260" spans="1:13" ht="14.4" x14ac:dyDescent="0.3">
      <c r="A1260" s="162"/>
      <c r="B1260" s="190"/>
      <c r="C1260" s="187"/>
      <c r="D1260" s="191"/>
      <c r="E1260" s="192"/>
      <c r="F1260" s="128"/>
      <c r="G1260" s="128"/>
      <c r="H1260" s="128"/>
      <c r="I1260" s="189"/>
      <c r="K1260" s="452"/>
      <c r="L1260" s="452"/>
      <c r="M1260" s="34"/>
    </row>
    <row r="1261" spans="1:13" ht="14.4" x14ac:dyDescent="0.3">
      <c r="A1261" s="163"/>
      <c r="B1261" s="164"/>
      <c r="C1261" s="165"/>
      <c r="D1261" s="166"/>
      <c r="E1261" s="166"/>
      <c r="F1261" s="128"/>
      <c r="G1261" s="128"/>
      <c r="H1261" s="128"/>
      <c r="I1261" s="167"/>
      <c r="K1261" s="452"/>
      <c r="L1261" s="452"/>
      <c r="M1261" s="34"/>
    </row>
    <row r="1262" spans="1:13" ht="14.4" x14ac:dyDescent="0.3">
      <c r="A1262" s="168"/>
      <c r="B1262" s="169"/>
      <c r="C1262" s="165"/>
      <c r="D1262" s="170"/>
      <c r="E1262" s="128"/>
      <c r="F1262" s="128"/>
      <c r="G1262" s="128"/>
      <c r="H1262" s="128"/>
      <c r="I1262" s="167"/>
      <c r="J1262" s="6"/>
      <c r="K1262" s="452"/>
      <c r="L1262" s="452"/>
      <c r="M1262" s="74"/>
    </row>
    <row r="1263" spans="1:13" ht="14.4" x14ac:dyDescent="0.3">
      <c r="A1263" s="160"/>
      <c r="B1263" s="169"/>
      <c r="C1263" s="165"/>
      <c r="D1263" s="170"/>
      <c r="E1263" s="128"/>
      <c r="F1263" s="128"/>
      <c r="G1263" s="128"/>
      <c r="H1263" s="128"/>
      <c r="I1263" s="167"/>
      <c r="J1263" s="6"/>
      <c r="K1263" s="452"/>
      <c r="L1263" s="452"/>
      <c r="M1263" s="6"/>
    </row>
    <row r="1264" spans="1:13" ht="14.4" x14ac:dyDescent="0.3">
      <c r="B1264" s="169"/>
      <c r="C1264" s="128"/>
      <c r="D1264" s="170"/>
      <c r="E1264" s="128"/>
      <c r="F1264" s="128"/>
      <c r="G1264" s="128"/>
      <c r="H1264" s="128"/>
      <c r="I1264" s="167"/>
      <c r="K1264" s="452"/>
      <c r="L1264" s="452"/>
      <c r="M1264" s="6"/>
    </row>
    <row r="1265" spans="1:13" ht="14.4" x14ac:dyDescent="0.3">
      <c r="A1265" s="6"/>
      <c r="B1265" s="169"/>
      <c r="C1265" s="128"/>
      <c r="D1265" s="128"/>
      <c r="E1265" s="128"/>
      <c r="F1265" s="128"/>
      <c r="G1265" s="128"/>
      <c r="H1265" s="128"/>
      <c r="I1265" s="167"/>
      <c r="K1265" s="452"/>
      <c r="L1265" s="452"/>
      <c r="M1265" s="6"/>
    </row>
    <row r="1266" spans="1:13" x14ac:dyDescent="0.3">
      <c r="A1266" s="6"/>
      <c r="B1266" s="40"/>
      <c r="C1266" s="160"/>
      <c r="D1266" s="40"/>
      <c r="K1266" s="452"/>
      <c r="L1266" s="452"/>
      <c r="M1266" s="6"/>
    </row>
    <row r="1267" spans="1:13" x14ac:dyDescent="0.3">
      <c r="B1267" s="171"/>
      <c r="C1267" s="160"/>
      <c r="D1267" s="40"/>
      <c r="E1267" s="172"/>
      <c r="K1267" s="452"/>
      <c r="L1267" s="452"/>
      <c r="M1267" s="124"/>
    </row>
    <row r="1268" spans="1:13" x14ac:dyDescent="0.3">
      <c r="B1268" s="6"/>
      <c r="C1268" s="6"/>
      <c r="D1268" s="6"/>
      <c r="E1268" s="6"/>
      <c r="F1268" s="6"/>
      <c r="G1268" s="445"/>
      <c r="H1268" s="445"/>
      <c r="I1268" s="445"/>
      <c r="J1268" s="445"/>
      <c r="K1268" s="453"/>
      <c r="L1268" s="453"/>
      <c r="M1268" s="173"/>
    </row>
    <row r="1269" spans="1:13" x14ac:dyDescent="0.3">
      <c r="B1269" s="6"/>
      <c r="C1269" s="6"/>
      <c r="D1269" s="6"/>
      <c r="E1269" s="6"/>
      <c r="F1269" s="6"/>
      <c r="G1269" s="444"/>
      <c r="H1269" s="444"/>
      <c r="I1269" s="444"/>
      <c r="J1269" s="444"/>
      <c r="K1269" s="444"/>
      <c r="L1269" s="444"/>
      <c r="M1269" s="173"/>
    </row>
    <row r="1270" spans="1:13" x14ac:dyDescent="0.3">
      <c r="A1270" s="124"/>
      <c r="B1270" s="449"/>
      <c r="C1270" s="449"/>
      <c r="D1270" s="449"/>
      <c r="E1270" s="449"/>
      <c r="F1270" s="449"/>
      <c r="G1270" s="444"/>
      <c r="H1270" s="444"/>
      <c r="I1270" s="444"/>
      <c r="J1270" s="444"/>
      <c r="K1270" s="444"/>
      <c r="L1270" s="444"/>
      <c r="M1270" s="174"/>
    </row>
    <row r="1271" spans="1:13" x14ac:dyDescent="0.3">
      <c r="A1271" s="124"/>
      <c r="B1271" s="449"/>
      <c r="C1271" s="449"/>
      <c r="D1271" s="449"/>
      <c r="E1271" s="449"/>
      <c r="F1271" s="449"/>
      <c r="G1271" s="444"/>
      <c r="H1271" s="444"/>
      <c r="I1271" s="444"/>
      <c r="J1271" s="444"/>
      <c r="K1271" s="444"/>
      <c r="L1271" s="444"/>
      <c r="M1271" s="136"/>
    </row>
    <row r="1272" spans="1:13" x14ac:dyDescent="0.3">
      <c r="A1272" s="124"/>
      <c r="B1272" s="449"/>
      <c r="C1272" s="449"/>
      <c r="D1272" s="449"/>
      <c r="E1272" s="449"/>
      <c r="F1272" s="449"/>
      <c r="G1272" s="444"/>
      <c r="H1272" s="444"/>
      <c r="I1272" s="444"/>
      <c r="J1272" s="444"/>
      <c r="K1272" s="444"/>
      <c r="L1272" s="444"/>
      <c r="M1272" s="6"/>
    </row>
    <row r="1273" spans="1:13" x14ac:dyDescent="0.3">
      <c r="A1273" s="124"/>
      <c r="B1273" s="124"/>
      <c r="C1273" s="124"/>
      <c r="D1273" s="124"/>
      <c r="E1273" s="124"/>
      <c r="F1273" s="124"/>
      <c r="G1273" s="449"/>
      <c r="H1273" s="449"/>
      <c r="I1273" s="449"/>
      <c r="J1273" s="449"/>
      <c r="K1273" s="449"/>
      <c r="L1273" s="449"/>
    </row>
    <row r="1274" spans="1:13" x14ac:dyDescent="0.3">
      <c r="A1274" s="6"/>
      <c r="B1274" s="124"/>
      <c r="C1274" s="124"/>
      <c r="D1274" s="124"/>
      <c r="E1274" s="124"/>
      <c r="F1274" s="124"/>
      <c r="G1274" s="175"/>
      <c r="H1274" s="175"/>
      <c r="I1274" s="175"/>
      <c r="J1274" s="173"/>
      <c r="K1274" s="173"/>
      <c r="L1274" s="173"/>
    </row>
    <row r="1275" spans="1:13" x14ac:dyDescent="0.3">
      <c r="A1275" s="6"/>
      <c r="B1275" s="124"/>
      <c r="C1275" s="124"/>
      <c r="D1275" s="124"/>
      <c r="E1275" s="124"/>
      <c r="F1275" s="124"/>
      <c r="G1275" s="175"/>
      <c r="H1275" s="175"/>
      <c r="I1275" s="175"/>
      <c r="J1275" s="173"/>
      <c r="K1275" s="173"/>
      <c r="L1275" s="173"/>
      <c r="M1275" s="6"/>
    </row>
    <row r="1276" spans="1:13" x14ac:dyDescent="0.3">
      <c r="A1276" s="124"/>
      <c r="B1276" s="124"/>
      <c r="C1276" s="124"/>
      <c r="D1276" s="124"/>
      <c r="E1276" s="124"/>
      <c r="F1276" s="124"/>
      <c r="G1276" s="450"/>
      <c r="H1276" s="450"/>
      <c r="I1276" s="450"/>
      <c r="J1276" s="450"/>
      <c r="K1276" s="450"/>
      <c r="L1276" s="450"/>
      <c r="M1276" s="6"/>
    </row>
    <row r="1277" spans="1:13" x14ac:dyDescent="0.3">
      <c r="A1277" s="6"/>
      <c r="B1277" s="6"/>
      <c r="C1277" s="6"/>
      <c r="D1277" s="6"/>
      <c r="E1277" s="6"/>
      <c r="F1277" s="6"/>
      <c r="G1277" s="6"/>
      <c r="H1277" s="6"/>
      <c r="I1277" s="6"/>
      <c r="J1277" s="451"/>
      <c r="K1277" s="451"/>
      <c r="L1277" s="451"/>
      <c r="M1277" s="6"/>
    </row>
    <row r="1278" spans="1:13" x14ac:dyDescent="0.3">
      <c r="A1278" s="124"/>
      <c r="B1278" s="6"/>
      <c r="C1278" s="6"/>
      <c r="D1278" s="6"/>
      <c r="E1278" s="112"/>
      <c r="F1278" s="112"/>
      <c r="J1278" s="444"/>
      <c r="K1278" s="444"/>
      <c r="L1278" s="444"/>
      <c r="M1278" s="6"/>
    </row>
    <row r="1279" spans="1:13" x14ac:dyDescent="0.3">
      <c r="A1279" s="6"/>
      <c r="B1279" s="124"/>
      <c r="C1279" s="124"/>
      <c r="D1279" s="124"/>
      <c r="E1279" s="112"/>
      <c r="F1279" s="112"/>
      <c r="M1279" s="6"/>
    </row>
    <row r="1280" spans="1:13" x14ac:dyDescent="0.3">
      <c r="A1280" s="76"/>
      <c r="B1280" s="6"/>
      <c r="C1280" s="6"/>
      <c r="D1280" s="6"/>
      <c r="E1280" s="112"/>
      <c r="F1280" s="112"/>
    </row>
    <row r="1281" spans="1:13" x14ac:dyDescent="0.3">
      <c r="A1281" s="176"/>
      <c r="B1281" s="124"/>
      <c r="C1281" s="124"/>
      <c r="D1281" s="124"/>
      <c r="E1281" s="112"/>
      <c r="F1281" s="112"/>
      <c r="J1281" s="444"/>
      <c r="K1281" s="444"/>
      <c r="L1281" s="444"/>
    </row>
    <row r="1282" spans="1:13" x14ac:dyDescent="0.3">
      <c r="A1282" s="176"/>
      <c r="B1282" s="6"/>
      <c r="C1282" s="6"/>
      <c r="D1282" s="6"/>
      <c r="E1282" s="112"/>
      <c r="F1282" s="112"/>
      <c r="J1282" s="444"/>
      <c r="K1282" s="444"/>
      <c r="L1282" s="444"/>
      <c r="M1282" s="159"/>
    </row>
    <row r="1283" spans="1:13" x14ac:dyDescent="0.3">
      <c r="B1283" s="76"/>
      <c r="C1283" s="76"/>
      <c r="D1283" s="76"/>
      <c r="E1283" s="76"/>
      <c r="F1283" s="76"/>
      <c r="G1283" s="76"/>
      <c r="H1283" s="76"/>
      <c r="I1283" s="76"/>
      <c r="K1283" s="444"/>
      <c r="L1283" s="444"/>
      <c r="M1283" s="13"/>
    </row>
    <row r="1284" spans="1:13" x14ac:dyDescent="0.3">
      <c r="A1284" s="6"/>
      <c r="B1284" s="176"/>
      <c r="C1284" s="176"/>
      <c r="D1284" s="176"/>
      <c r="E1284" s="176"/>
      <c r="F1284" s="176"/>
      <c r="G1284" s="176"/>
      <c r="H1284" s="176"/>
      <c r="I1284" s="176"/>
      <c r="K1284" s="447"/>
      <c r="L1284" s="444"/>
      <c r="M1284" s="13"/>
    </row>
    <row r="1285" spans="1:13" x14ac:dyDescent="0.3">
      <c r="A1285" s="159"/>
      <c r="B1285" s="176"/>
      <c r="C1285" s="176"/>
      <c r="D1285" s="176"/>
      <c r="E1285" s="176"/>
      <c r="F1285" s="176"/>
      <c r="G1285" s="176"/>
      <c r="H1285" s="176"/>
      <c r="I1285" s="176"/>
      <c r="J1285" s="444"/>
      <c r="K1285" s="444"/>
      <c r="L1285" s="444"/>
      <c r="M1285" s="112"/>
    </row>
    <row r="1286" spans="1:13" x14ac:dyDescent="0.3">
      <c r="A1286" s="136"/>
      <c r="M1286" s="178"/>
    </row>
    <row r="1287" spans="1:13" x14ac:dyDescent="0.3">
      <c r="A1287" s="13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M1287" s="178"/>
    </row>
    <row r="1288" spans="1:13" x14ac:dyDescent="0.3">
      <c r="A1288" s="52"/>
      <c r="B1288" s="159"/>
      <c r="C1288" s="159"/>
      <c r="D1288" s="159"/>
      <c r="E1288" s="159"/>
      <c r="F1288" s="159"/>
      <c r="G1288" s="159"/>
      <c r="H1288" s="159"/>
      <c r="I1288" s="159"/>
      <c r="J1288" s="159"/>
      <c r="K1288" s="159"/>
      <c r="L1288" s="159"/>
      <c r="M1288" s="112"/>
    </row>
    <row r="1289" spans="1:13" x14ac:dyDescent="0.3">
      <c r="A1289" s="52"/>
      <c r="B1289" s="448"/>
      <c r="C1289" s="448"/>
      <c r="D1289" s="448"/>
      <c r="E1289" s="448"/>
      <c r="F1289" s="448"/>
      <c r="G1289" s="448"/>
      <c r="H1289" s="445"/>
      <c r="I1289" s="445"/>
      <c r="J1289" s="448"/>
      <c r="K1289" s="448"/>
      <c r="L1289" s="448"/>
      <c r="M1289" s="112"/>
    </row>
    <row r="1290" spans="1:13" x14ac:dyDescent="0.3">
      <c r="A1290" s="52"/>
      <c r="B1290" s="448"/>
      <c r="C1290" s="448"/>
      <c r="D1290" s="448"/>
      <c r="E1290" s="448"/>
      <c r="F1290" s="448"/>
      <c r="G1290" s="448"/>
      <c r="H1290" s="445"/>
      <c r="I1290" s="445"/>
      <c r="J1290" s="448"/>
      <c r="K1290" s="448"/>
      <c r="L1290" s="448"/>
      <c r="M1290" s="112"/>
    </row>
    <row r="1291" spans="1:13" x14ac:dyDescent="0.3">
      <c r="B1291" s="444"/>
      <c r="C1291" s="444"/>
      <c r="D1291" s="444"/>
      <c r="E1291" s="444"/>
      <c r="F1291" s="444"/>
      <c r="G1291" s="444"/>
      <c r="H1291" s="445"/>
      <c r="I1291" s="445"/>
      <c r="K1291" s="178"/>
      <c r="L1291" s="112"/>
      <c r="M1291" s="112"/>
    </row>
    <row r="1292" spans="1:13" x14ac:dyDescent="0.3">
      <c r="B1292" s="444"/>
      <c r="C1292" s="444"/>
      <c r="D1292" s="444"/>
      <c r="E1292" s="444"/>
      <c r="F1292" s="444"/>
      <c r="G1292" s="444"/>
      <c r="H1292" s="445"/>
      <c r="I1292" s="445"/>
      <c r="K1292" s="178"/>
      <c r="L1292" s="178"/>
      <c r="M1292" s="112"/>
    </row>
    <row r="1293" spans="1:13" x14ac:dyDescent="0.3">
      <c r="B1293" s="444"/>
      <c r="C1293" s="444"/>
      <c r="D1293" s="444"/>
      <c r="E1293" s="444"/>
      <c r="F1293" s="444"/>
      <c r="G1293" s="444"/>
      <c r="H1293" s="445"/>
      <c r="I1293" s="445"/>
      <c r="K1293" s="112"/>
      <c r="L1293" s="178"/>
      <c r="M1293" s="112"/>
    </row>
    <row r="1294" spans="1:13" x14ac:dyDescent="0.3">
      <c r="B1294" s="444"/>
      <c r="C1294" s="444"/>
      <c r="D1294" s="444"/>
      <c r="E1294" s="444"/>
      <c r="F1294" s="444"/>
      <c r="G1294" s="444"/>
      <c r="H1294" s="444"/>
      <c r="I1294" s="444"/>
      <c r="K1294" s="112"/>
      <c r="L1294" s="112"/>
      <c r="M1294" s="178"/>
    </row>
    <row r="1295" spans="1:13" x14ac:dyDescent="0.3">
      <c r="B1295" s="444"/>
      <c r="C1295" s="444"/>
      <c r="D1295" s="444"/>
      <c r="E1295" s="444"/>
      <c r="F1295" s="444"/>
      <c r="G1295" s="444"/>
      <c r="H1295" s="444"/>
      <c r="I1295" s="444"/>
      <c r="K1295" s="112"/>
      <c r="L1295" s="112"/>
      <c r="M1295" s="76"/>
    </row>
    <row r="1296" spans="1:13" x14ac:dyDescent="0.3">
      <c r="B1296" s="444"/>
      <c r="C1296" s="444"/>
      <c r="D1296" s="444"/>
      <c r="E1296" s="444"/>
      <c r="F1296" s="444"/>
      <c r="G1296" s="444"/>
      <c r="H1296" s="444"/>
      <c r="I1296" s="444"/>
      <c r="K1296" s="112"/>
      <c r="L1296" s="112"/>
      <c r="M1296" s="159"/>
    </row>
    <row r="1297" spans="1:13" x14ac:dyDescent="0.3">
      <c r="B1297" s="444"/>
      <c r="C1297" s="444"/>
      <c r="D1297" s="444"/>
      <c r="E1297" s="444"/>
      <c r="F1297" s="444"/>
      <c r="G1297" s="444"/>
      <c r="H1297" s="444"/>
      <c r="I1297" s="444"/>
      <c r="K1297" s="112"/>
      <c r="L1297" s="112"/>
    </row>
    <row r="1298" spans="1:13" x14ac:dyDescent="0.3">
      <c r="B1298" s="444"/>
      <c r="C1298" s="444"/>
      <c r="D1298" s="444"/>
      <c r="E1298" s="444"/>
      <c r="F1298" s="444"/>
      <c r="G1298" s="444"/>
      <c r="H1298" s="444"/>
      <c r="I1298" s="444"/>
      <c r="K1298" s="112"/>
      <c r="L1298" s="112"/>
      <c r="M1298" s="6"/>
    </row>
    <row r="1299" spans="1:13" x14ac:dyDescent="0.3">
      <c r="A1299" s="159"/>
      <c r="B1299" s="444"/>
      <c r="C1299" s="444"/>
      <c r="D1299" s="444"/>
      <c r="E1299" s="444"/>
      <c r="F1299" s="444"/>
      <c r="G1299" s="444"/>
      <c r="H1299" s="444"/>
      <c r="I1299" s="444"/>
      <c r="K1299" s="112"/>
      <c r="L1299" s="112"/>
      <c r="M1299" s="6"/>
    </row>
    <row r="1300" spans="1:13" x14ac:dyDescent="0.3">
      <c r="B1300" s="444"/>
      <c r="C1300" s="444"/>
      <c r="D1300" s="444"/>
      <c r="E1300" s="444"/>
      <c r="F1300" s="444"/>
      <c r="G1300" s="444"/>
      <c r="H1300" s="444"/>
      <c r="I1300" s="444"/>
      <c r="K1300" s="178"/>
      <c r="L1300" s="178"/>
      <c r="M1300" s="6"/>
    </row>
    <row r="1301" spans="1:13" x14ac:dyDescent="0.3">
      <c r="A1301" s="179"/>
      <c r="B1301" s="444"/>
      <c r="C1301" s="444"/>
      <c r="D1301" s="444"/>
      <c r="E1301" s="444"/>
      <c r="F1301" s="444"/>
      <c r="G1301" s="444"/>
      <c r="J1301" s="445"/>
      <c r="K1301" s="445"/>
      <c r="L1301" s="445"/>
      <c r="M1301" s="76"/>
    </row>
    <row r="1302" spans="1:13" x14ac:dyDescent="0.3">
      <c r="B1302" s="159"/>
      <c r="C1302" s="159"/>
      <c r="D1302" s="159"/>
      <c r="E1302" s="159"/>
      <c r="F1302" s="159"/>
      <c r="G1302" s="159"/>
      <c r="H1302" s="159"/>
      <c r="I1302" s="159"/>
      <c r="J1302" s="159"/>
      <c r="K1302" s="159"/>
      <c r="L1302" s="159"/>
      <c r="M1302" s="6"/>
    </row>
    <row r="1303" spans="1:13" ht="23.4" x14ac:dyDescent="0.45">
      <c r="A1303" s="52"/>
      <c r="B1303" s="446"/>
      <c r="C1303" s="446"/>
      <c r="D1303" s="446"/>
      <c r="E1303" s="446"/>
      <c r="F1303" s="446"/>
      <c r="G1303" s="446"/>
      <c r="H1303" s="446"/>
      <c r="I1303" s="446"/>
      <c r="J1303" s="52"/>
      <c r="M1303" s="28"/>
    </row>
    <row r="1304" spans="1:13" x14ac:dyDescent="0.3">
      <c r="B1304" s="444"/>
      <c r="C1304" s="444"/>
      <c r="D1304" s="444"/>
      <c r="E1304" s="444"/>
      <c r="F1304" s="444"/>
      <c r="G1304" s="444"/>
      <c r="H1304" s="444"/>
      <c r="I1304" s="444"/>
      <c r="J1304" s="444"/>
      <c r="K1304" s="444"/>
      <c r="L1304" s="444"/>
      <c r="M1304" s="13"/>
    </row>
    <row r="1305" spans="1:13" x14ac:dyDescent="0.3">
      <c r="B1305" s="454"/>
      <c r="C1305" s="454"/>
      <c r="D1305" s="454"/>
      <c r="E1305" s="454"/>
      <c r="K1305" s="444"/>
      <c r="L1305" s="444"/>
      <c r="M1305" s="13"/>
    </row>
    <row r="1306" spans="1:13" x14ac:dyDescent="0.3">
      <c r="A1306" s="52"/>
      <c r="B1306" s="454"/>
      <c r="C1306" s="454"/>
      <c r="D1306" s="454"/>
      <c r="E1306" s="454"/>
      <c r="F1306" s="52"/>
      <c r="G1306" s="52"/>
      <c r="H1306" s="52"/>
      <c r="I1306" s="52"/>
      <c r="J1306" s="52"/>
      <c r="K1306" s="444"/>
      <c r="L1306" s="444"/>
      <c r="M1306" s="34"/>
    </row>
    <row r="1307" spans="1:13" x14ac:dyDescent="0.3">
      <c r="A1307" s="13"/>
      <c r="B1307" s="455"/>
      <c r="C1307" s="455"/>
      <c r="D1307" s="455"/>
      <c r="E1307" s="455"/>
      <c r="F1307" s="445"/>
      <c r="G1307" s="445"/>
      <c r="H1307" s="445"/>
      <c r="I1307" s="445"/>
      <c r="J1307" s="445"/>
      <c r="K1307" s="445"/>
      <c r="L1307" s="445"/>
      <c r="M1307" s="34"/>
    </row>
    <row r="1308" spans="1:13" x14ac:dyDescent="0.3">
      <c r="A1308" s="13"/>
      <c r="K1308" s="6"/>
      <c r="L1308" s="6"/>
      <c r="M1308" s="74"/>
    </row>
    <row r="1309" spans="1:13" ht="23.4" x14ac:dyDescent="0.45">
      <c r="A1309" s="6"/>
      <c r="B1309" s="52"/>
      <c r="C1309" s="52"/>
      <c r="D1309" s="52"/>
      <c r="E1309" s="52"/>
      <c r="F1309" s="456"/>
      <c r="G1309" s="456"/>
      <c r="H1309" s="456"/>
      <c r="I1309" s="456"/>
      <c r="J1309" s="456"/>
      <c r="K1309" s="181"/>
      <c r="L1309" s="28"/>
      <c r="M1309" s="34"/>
    </row>
    <row r="1310" spans="1:13" x14ac:dyDescent="0.3">
      <c r="B1310" s="13"/>
      <c r="C1310" s="13"/>
      <c r="D1310" s="13"/>
      <c r="E1310" s="13"/>
      <c r="F1310" s="13"/>
      <c r="G1310" s="13"/>
      <c r="H1310" s="13"/>
      <c r="I1310" s="13"/>
      <c r="J1310" s="13"/>
      <c r="K1310" s="448"/>
      <c r="L1310" s="448"/>
      <c r="M1310" s="74"/>
    </row>
    <row r="1311" spans="1:13" x14ac:dyDescent="0.3">
      <c r="A1311" s="182"/>
      <c r="B1311" s="13"/>
      <c r="C1311" s="13"/>
      <c r="D1311" s="13"/>
      <c r="E1311" s="13"/>
      <c r="F1311" s="13"/>
      <c r="G1311" s="13"/>
      <c r="H1311" s="13"/>
      <c r="I1311" s="13"/>
      <c r="J1311" s="13"/>
      <c r="K1311" s="448"/>
      <c r="L1311" s="448"/>
      <c r="M1311" s="34"/>
    </row>
    <row r="1312" spans="1:13" x14ac:dyDescent="0.3">
      <c r="B1312" s="6"/>
      <c r="C1312" s="6"/>
      <c r="D1312" s="6"/>
      <c r="E1312" s="6"/>
      <c r="F1312" s="6"/>
      <c r="G1312" s="6"/>
      <c r="H1312" s="6"/>
      <c r="I1312" s="6"/>
      <c r="J1312" s="6"/>
      <c r="K1312" s="452"/>
      <c r="L1312" s="452"/>
      <c r="M1312" s="34"/>
    </row>
    <row r="1313" spans="1:13" x14ac:dyDescent="0.3">
      <c r="A1313" s="182"/>
      <c r="K1313" s="452"/>
      <c r="L1313" s="452"/>
      <c r="M1313" s="34"/>
    </row>
    <row r="1314" spans="1:13" x14ac:dyDescent="0.3">
      <c r="A1314" s="182"/>
      <c r="B1314" s="182"/>
      <c r="C1314" s="183"/>
      <c r="D1314" s="184"/>
      <c r="E1314" s="184"/>
      <c r="K1314" s="453"/>
      <c r="L1314" s="453"/>
      <c r="M1314" s="34"/>
    </row>
    <row r="1315" spans="1:13" x14ac:dyDescent="0.3">
      <c r="A1315" s="182"/>
      <c r="B1315" s="185"/>
      <c r="C1315" s="184"/>
      <c r="D1315" s="186"/>
      <c r="E1315" s="184"/>
      <c r="F1315" s="184"/>
      <c r="G1315" s="184"/>
      <c r="H1315" s="184"/>
      <c r="I1315" s="187"/>
      <c r="K1315" s="452"/>
      <c r="L1315" s="452"/>
      <c r="M1315" s="34"/>
    </row>
    <row r="1316" spans="1:13" x14ac:dyDescent="0.3">
      <c r="A1316" s="160"/>
      <c r="B1316" s="182"/>
      <c r="C1316" s="183"/>
      <c r="D1316" s="188"/>
      <c r="E1316" s="188"/>
      <c r="I1316" s="189"/>
      <c r="K1316" s="453"/>
      <c r="L1316" s="453"/>
      <c r="M1316" s="34"/>
    </row>
    <row r="1317" spans="1:13" x14ac:dyDescent="0.3">
      <c r="A1317" s="161"/>
      <c r="B1317" s="185"/>
      <c r="C1317" s="184"/>
      <c r="D1317" s="184"/>
      <c r="E1317" s="184"/>
      <c r="F1317" s="184"/>
      <c r="G1317" s="184"/>
      <c r="H1317" s="184"/>
      <c r="I1317" s="189"/>
      <c r="K1317" s="452"/>
      <c r="L1317" s="452"/>
      <c r="M1317" s="34"/>
    </row>
    <row r="1318" spans="1:13" ht="14.4" x14ac:dyDescent="0.3">
      <c r="A1318" s="162"/>
      <c r="B1318" s="190"/>
      <c r="C1318" s="187"/>
      <c r="D1318" s="191"/>
      <c r="E1318" s="192"/>
      <c r="F1318" s="128"/>
      <c r="G1318" s="128"/>
      <c r="H1318" s="128"/>
      <c r="I1318" s="189"/>
      <c r="K1318" s="452"/>
      <c r="L1318" s="452"/>
      <c r="M1318" s="34"/>
    </row>
    <row r="1319" spans="1:13" ht="14.4" x14ac:dyDescent="0.3">
      <c r="A1319" s="163"/>
      <c r="B1319" s="164"/>
      <c r="C1319" s="165"/>
      <c r="D1319" s="166"/>
      <c r="E1319" s="166"/>
      <c r="F1319" s="128"/>
      <c r="G1319" s="128"/>
      <c r="H1319" s="128"/>
      <c r="I1319" s="167"/>
      <c r="K1319" s="452"/>
      <c r="L1319" s="452"/>
      <c r="M1319" s="34"/>
    </row>
    <row r="1320" spans="1:13" ht="14.4" x14ac:dyDescent="0.3">
      <c r="A1320" s="168"/>
      <c r="B1320" s="169"/>
      <c r="C1320" s="165"/>
      <c r="D1320" s="170"/>
      <c r="E1320" s="128"/>
      <c r="F1320" s="128"/>
      <c r="G1320" s="128"/>
      <c r="H1320" s="128"/>
      <c r="I1320" s="167"/>
      <c r="J1320" s="6"/>
      <c r="K1320" s="452"/>
      <c r="L1320" s="452"/>
      <c r="M1320" s="74"/>
    </row>
    <row r="1321" spans="1:13" ht="14.4" x14ac:dyDescent="0.3">
      <c r="A1321" s="160"/>
      <c r="B1321" s="169"/>
      <c r="C1321" s="165"/>
      <c r="D1321" s="170"/>
      <c r="E1321" s="128"/>
      <c r="F1321" s="128"/>
      <c r="G1321" s="128"/>
      <c r="H1321" s="128"/>
      <c r="I1321" s="167"/>
      <c r="J1321" s="6"/>
      <c r="K1321" s="452"/>
      <c r="L1321" s="452"/>
      <c r="M1321" s="6"/>
    </row>
    <row r="1322" spans="1:13" ht="14.4" x14ac:dyDescent="0.3">
      <c r="B1322" s="169"/>
      <c r="C1322" s="128"/>
      <c r="D1322" s="170"/>
      <c r="E1322" s="128"/>
      <c r="F1322" s="128"/>
      <c r="G1322" s="128"/>
      <c r="H1322" s="128"/>
      <c r="I1322" s="167"/>
      <c r="K1322" s="452"/>
      <c r="L1322" s="452"/>
      <c r="M1322" s="6"/>
    </row>
    <row r="1323" spans="1:13" ht="14.4" x14ac:dyDescent="0.3">
      <c r="A1323" s="6"/>
      <c r="B1323" s="169"/>
      <c r="C1323" s="128"/>
      <c r="D1323" s="128"/>
      <c r="E1323" s="128"/>
      <c r="F1323" s="128"/>
      <c r="G1323" s="128"/>
      <c r="H1323" s="128"/>
      <c r="I1323" s="167"/>
      <c r="K1323" s="452"/>
      <c r="L1323" s="452"/>
      <c r="M1323" s="6"/>
    </row>
    <row r="1324" spans="1:13" x14ac:dyDescent="0.3">
      <c r="A1324" s="6"/>
      <c r="B1324" s="40"/>
      <c r="C1324" s="160"/>
      <c r="D1324" s="40"/>
      <c r="K1324" s="452"/>
      <c r="L1324" s="452"/>
      <c r="M1324" s="6"/>
    </row>
    <row r="1325" spans="1:13" x14ac:dyDescent="0.3">
      <c r="B1325" s="171"/>
      <c r="C1325" s="160"/>
      <c r="D1325" s="40"/>
      <c r="E1325" s="172"/>
      <c r="K1325" s="452"/>
      <c r="L1325" s="452"/>
      <c r="M1325" s="124"/>
    </row>
    <row r="1326" spans="1:13" x14ac:dyDescent="0.3">
      <c r="B1326" s="6"/>
      <c r="C1326" s="6"/>
      <c r="D1326" s="6"/>
      <c r="E1326" s="6"/>
      <c r="F1326" s="6"/>
      <c r="G1326" s="445"/>
      <c r="H1326" s="445"/>
      <c r="I1326" s="445"/>
      <c r="J1326" s="445"/>
      <c r="K1326" s="453"/>
      <c r="L1326" s="453"/>
      <c r="M1326" s="173"/>
    </row>
    <row r="1327" spans="1:13" x14ac:dyDescent="0.3">
      <c r="B1327" s="6"/>
      <c r="C1327" s="6"/>
      <c r="D1327" s="6"/>
      <c r="E1327" s="6"/>
      <c r="F1327" s="6"/>
      <c r="G1327" s="444"/>
      <c r="H1327" s="444"/>
      <c r="I1327" s="444"/>
      <c r="J1327" s="444"/>
      <c r="K1327" s="444"/>
      <c r="L1327" s="444"/>
      <c r="M1327" s="173"/>
    </row>
    <row r="1328" spans="1:13" x14ac:dyDescent="0.3">
      <c r="A1328" s="124"/>
      <c r="B1328" s="449"/>
      <c r="C1328" s="449"/>
      <c r="D1328" s="449"/>
      <c r="E1328" s="449"/>
      <c r="F1328" s="449"/>
      <c r="G1328" s="444"/>
      <c r="H1328" s="444"/>
      <c r="I1328" s="444"/>
      <c r="J1328" s="444"/>
      <c r="K1328" s="444"/>
      <c r="L1328" s="444"/>
      <c r="M1328" s="174"/>
    </row>
    <row r="1329" spans="1:13" x14ac:dyDescent="0.3">
      <c r="A1329" s="124"/>
      <c r="B1329" s="449"/>
      <c r="C1329" s="449"/>
      <c r="D1329" s="449"/>
      <c r="E1329" s="449"/>
      <c r="F1329" s="449"/>
      <c r="G1329" s="444"/>
      <c r="H1329" s="444"/>
      <c r="I1329" s="444"/>
      <c r="J1329" s="444"/>
      <c r="K1329" s="444"/>
      <c r="L1329" s="444"/>
      <c r="M1329" s="136"/>
    </row>
    <row r="1330" spans="1:13" x14ac:dyDescent="0.3">
      <c r="A1330" s="124"/>
      <c r="B1330" s="449"/>
      <c r="C1330" s="449"/>
      <c r="D1330" s="449"/>
      <c r="E1330" s="449"/>
      <c r="F1330" s="449"/>
      <c r="G1330" s="444"/>
      <c r="H1330" s="444"/>
      <c r="I1330" s="444"/>
      <c r="J1330" s="444"/>
      <c r="K1330" s="444"/>
      <c r="L1330" s="444"/>
      <c r="M1330" s="6"/>
    </row>
    <row r="1331" spans="1:13" x14ac:dyDescent="0.3">
      <c r="A1331" s="124"/>
      <c r="B1331" s="124"/>
      <c r="C1331" s="124"/>
      <c r="D1331" s="124"/>
      <c r="E1331" s="124"/>
      <c r="F1331" s="124"/>
      <c r="G1331" s="449"/>
      <c r="H1331" s="449"/>
      <c r="I1331" s="449"/>
      <c r="J1331" s="449"/>
      <c r="K1331" s="449"/>
      <c r="L1331" s="449"/>
    </row>
    <row r="1332" spans="1:13" x14ac:dyDescent="0.3">
      <c r="A1332" s="6"/>
      <c r="B1332" s="124"/>
      <c r="C1332" s="124"/>
      <c r="D1332" s="124"/>
      <c r="E1332" s="124"/>
      <c r="F1332" s="124"/>
      <c r="G1332" s="175"/>
      <c r="H1332" s="175"/>
      <c r="I1332" s="175"/>
      <c r="J1332" s="173"/>
      <c r="K1332" s="173"/>
      <c r="L1332" s="173"/>
    </row>
    <row r="1333" spans="1:13" x14ac:dyDescent="0.3">
      <c r="A1333" s="6"/>
      <c r="B1333" s="124"/>
      <c r="C1333" s="124"/>
      <c r="D1333" s="124"/>
      <c r="E1333" s="124"/>
      <c r="F1333" s="124"/>
      <c r="G1333" s="175"/>
      <c r="H1333" s="175"/>
      <c r="I1333" s="175"/>
      <c r="J1333" s="173"/>
      <c r="K1333" s="173"/>
      <c r="L1333" s="173"/>
      <c r="M1333" s="6"/>
    </row>
    <row r="1334" spans="1:13" x14ac:dyDescent="0.3">
      <c r="A1334" s="124"/>
      <c r="B1334" s="124"/>
      <c r="C1334" s="124"/>
      <c r="D1334" s="124"/>
      <c r="E1334" s="124"/>
      <c r="F1334" s="124"/>
      <c r="G1334" s="450"/>
      <c r="H1334" s="450"/>
      <c r="I1334" s="450"/>
      <c r="J1334" s="450"/>
      <c r="K1334" s="450"/>
      <c r="L1334" s="450"/>
      <c r="M1334" s="6"/>
    </row>
    <row r="1335" spans="1:13" x14ac:dyDescent="0.3">
      <c r="A1335" s="6"/>
      <c r="B1335" s="6"/>
      <c r="C1335" s="6"/>
      <c r="D1335" s="6"/>
      <c r="E1335" s="6"/>
      <c r="F1335" s="6"/>
      <c r="G1335" s="6"/>
      <c r="H1335" s="6"/>
      <c r="I1335" s="6"/>
      <c r="J1335" s="451"/>
      <c r="K1335" s="451"/>
      <c r="L1335" s="451"/>
      <c r="M1335" s="6"/>
    </row>
    <row r="1336" spans="1:13" x14ac:dyDescent="0.3">
      <c r="A1336" s="124"/>
      <c r="B1336" s="6"/>
      <c r="C1336" s="6"/>
      <c r="D1336" s="6"/>
      <c r="E1336" s="112"/>
      <c r="F1336" s="112"/>
      <c r="J1336" s="444"/>
      <c r="K1336" s="444"/>
      <c r="L1336" s="444"/>
      <c r="M1336" s="6"/>
    </row>
    <row r="1337" spans="1:13" x14ac:dyDescent="0.3">
      <c r="A1337" s="6"/>
      <c r="B1337" s="124"/>
      <c r="C1337" s="124"/>
      <c r="D1337" s="124"/>
      <c r="E1337" s="112"/>
      <c r="F1337" s="112"/>
      <c r="M1337" s="6"/>
    </row>
    <row r="1338" spans="1:13" x14ac:dyDescent="0.3">
      <c r="A1338" s="76"/>
      <c r="B1338" s="6"/>
      <c r="C1338" s="6"/>
      <c r="D1338" s="6"/>
      <c r="E1338" s="112"/>
      <c r="F1338" s="112"/>
    </row>
    <row r="1339" spans="1:13" x14ac:dyDescent="0.3">
      <c r="A1339" s="176"/>
      <c r="B1339" s="124"/>
      <c r="C1339" s="124"/>
      <c r="D1339" s="124"/>
      <c r="E1339" s="112"/>
      <c r="F1339" s="112"/>
      <c r="J1339" s="444"/>
      <c r="K1339" s="444"/>
      <c r="L1339" s="444"/>
    </row>
    <row r="1340" spans="1:13" x14ac:dyDescent="0.3">
      <c r="A1340" s="176"/>
      <c r="B1340" s="6"/>
      <c r="C1340" s="6"/>
      <c r="D1340" s="6"/>
      <c r="E1340" s="112"/>
      <c r="F1340" s="112"/>
      <c r="J1340" s="444"/>
      <c r="K1340" s="444"/>
      <c r="L1340" s="444"/>
      <c r="M1340" s="159"/>
    </row>
    <row r="1341" spans="1:13" x14ac:dyDescent="0.3">
      <c r="B1341" s="76"/>
      <c r="C1341" s="76"/>
      <c r="D1341" s="76"/>
      <c r="E1341" s="76"/>
      <c r="F1341" s="76"/>
      <c r="G1341" s="76"/>
      <c r="H1341" s="76"/>
      <c r="I1341" s="76"/>
      <c r="K1341" s="444"/>
      <c r="L1341" s="444"/>
      <c r="M1341" s="13"/>
    </row>
    <row r="1342" spans="1:13" x14ac:dyDescent="0.3">
      <c r="A1342" s="6"/>
      <c r="B1342" s="176"/>
      <c r="C1342" s="176"/>
      <c r="D1342" s="176"/>
      <c r="E1342" s="176"/>
      <c r="F1342" s="176"/>
      <c r="G1342" s="176"/>
      <c r="H1342" s="176"/>
      <c r="I1342" s="176"/>
      <c r="K1342" s="447"/>
      <c r="L1342" s="444"/>
      <c r="M1342" s="13"/>
    </row>
    <row r="1343" spans="1:13" x14ac:dyDescent="0.3">
      <c r="A1343" s="159"/>
      <c r="B1343" s="176"/>
      <c r="C1343" s="176"/>
      <c r="D1343" s="176"/>
      <c r="E1343" s="176"/>
      <c r="F1343" s="176"/>
      <c r="G1343" s="176"/>
      <c r="H1343" s="176"/>
      <c r="I1343" s="176"/>
      <c r="J1343" s="444"/>
      <c r="K1343" s="444"/>
      <c r="L1343" s="444"/>
      <c r="M1343" s="112"/>
    </row>
    <row r="1344" spans="1:13" x14ac:dyDescent="0.3">
      <c r="A1344" s="136"/>
      <c r="M1344" s="178"/>
    </row>
    <row r="1345" spans="1:13" x14ac:dyDescent="0.3">
      <c r="A1345" s="13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M1345" s="178"/>
    </row>
    <row r="1346" spans="1:13" x14ac:dyDescent="0.3">
      <c r="A1346" s="52"/>
      <c r="B1346" s="159"/>
      <c r="C1346" s="159"/>
      <c r="D1346" s="159"/>
      <c r="E1346" s="159"/>
      <c r="F1346" s="159"/>
      <c r="G1346" s="159"/>
      <c r="H1346" s="159"/>
      <c r="I1346" s="159"/>
      <c r="J1346" s="159"/>
      <c r="K1346" s="159"/>
      <c r="L1346" s="159"/>
      <c r="M1346" s="112"/>
    </row>
    <row r="1347" spans="1:13" x14ac:dyDescent="0.3">
      <c r="A1347" s="52"/>
      <c r="B1347" s="448"/>
      <c r="C1347" s="448"/>
      <c r="D1347" s="448"/>
      <c r="E1347" s="448"/>
      <c r="F1347" s="448"/>
      <c r="G1347" s="448"/>
      <c r="H1347" s="445"/>
      <c r="I1347" s="445"/>
      <c r="J1347" s="448"/>
      <c r="K1347" s="448"/>
      <c r="L1347" s="448"/>
      <c r="M1347" s="112"/>
    </row>
    <row r="1348" spans="1:13" x14ac:dyDescent="0.3">
      <c r="A1348" s="52"/>
      <c r="B1348" s="448"/>
      <c r="C1348" s="448"/>
      <c r="D1348" s="448"/>
      <c r="E1348" s="448"/>
      <c r="F1348" s="448"/>
      <c r="G1348" s="448"/>
      <c r="H1348" s="445"/>
      <c r="I1348" s="445"/>
      <c r="J1348" s="448"/>
      <c r="K1348" s="448"/>
      <c r="L1348" s="448"/>
      <c r="M1348" s="112"/>
    </row>
    <row r="1349" spans="1:13" x14ac:dyDescent="0.3">
      <c r="B1349" s="444"/>
      <c r="C1349" s="444"/>
      <c r="D1349" s="444"/>
      <c r="E1349" s="444"/>
      <c r="F1349" s="444"/>
      <c r="G1349" s="444"/>
      <c r="H1349" s="445"/>
      <c r="I1349" s="445"/>
      <c r="K1349" s="178"/>
      <c r="L1349" s="112"/>
      <c r="M1349" s="112"/>
    </row>
    <row r="1350" spans="1:13" x14ac:dyDescent="0.3">
      <c r="B1350" s="444"/>
      <c r="C1350" s="444"/>
      <c r="D1350" s="444"/>
      <c r="E1350" s="444"/>
      <c r="F1350" s="444"/>
      <c r="G1350" s="444"/>
      <c r="H1350" s="445"/>
      <c r="I1350" s="445"/>
      <c r="K1350" s="178"/>
      <c r="L1350" s="178"/>
      <c r="M1350" s="112"/>
    </row>
    <row r="1351" spans="1:13" x14ac:dyDescent="0.3">
      <c r="B1351" s="444"/>
      <c r="C1351" s="444"/>
      <c r="D1351" s="444"/>
      <c r="E1351" s="444"/>
      <c r="F1351" s="444"/>
      <c r="G1351" s="444"/>
      <c r="H1351" s="445"/>
      <c r="I1351" s="445"/>
      <c r="K1351" s="112"/>
      <c r="L1351" s="178"/>
      <c r="M1351" s="112"/>
    </row>
    <row r="1352" spans="1:13" x14ac:dyDescent="0.3">
      <c r="B1352" s="444"/>
      <c r="C1352" s="444"/>
      <c r="D1352" s="444"/>
      <c r="E1352" s="444"/>
      <c r="F1352" s="444"/>
      <c r="G1352" s="444"/>
      <c r="H1352" s="444"/>
      <c r="I1352" s="444"/>
      <c r="K1352" s="112"/>
      <c r="L1352" s="112"/>
      <c r="M1352" s="178"/>
    </row>
    <row r="1353" spans="1:13" x14ac:dyDescent="0.3">
      <c r="B1353" s="444"/>
      <c r="C1353" s="444"/>
      <c r="D1353" s="444"/>
      <c r="E1353" s="444"/>
      <c r="F1353" s="444"/>
      <c r="G1353" s="444"/>
      <c r="H1353" s="444"/>
      <c r="I1353" s="444"/>
      <c r="K1353" s="112"/>
      <c r="L1353" s="112"/>
      <c r="M1353" s="76"/>
    </row>
    <row r="1354" spans="1:13" x14ac:dyDescent="0.3">
      <c r="B1354" s="444"/>
      <c r="C1354" s="444"/>
      <c r="D1354" s="444"/>
      <c r="E1354" s="444"/>
      <c r="F1354" s="444"/>
      <c r="G1354" s="444"/>
      <c r="H1354" s="444"/>
      <c r="I1354" s="444"/>
      <c r="K1354" s="112"/>
      <c r="L1354" s="112"/>
      <c r="M1354" s="159"/>
    </row>
    <row r="1355" spans="1:13" x14ac:dyDescent="0.3">
      <c r="B1355" s="444"/>
      <c r="C1355" s="444"/>
      <c r="D1355" s="444"/>
      <c r="E1355" s="444"/>
      <c r="F1355" s="444"/>
      <c r="G1355" s="444"/>
      <c r="H1355" s="444"/>
      <c r="I1355" s="444"/>
      <c r="K1355" s="112"/>
      <c r="L1355" s="112"/>
    </row>
    <row r="1356" spans="1:13" x14ac:dyDescent="0.3">
      <c r="B1356" s="444"/>
      <c r="C1356" s="444"/>
      <c r="D1356" s="444"/>
      <c r="E1356" s="444"/>
      <c r="F1356" s="444"/>
      <c r="G1356" s="444"/>
      <c r="H1356" s="444"/>
      <c r="I1356" s="444"/>
      <c r="K1356" s="112"/>
      <c r="L1356" s="112"/>
      <c r="M1356" s="6"/>
    </row>
    <row r="1357" spans="1:13" x14ac:dyDescent="0.3">
      <c r="A1357" s="159"/>
      <c r="B1357" s="444"/>
      <c r="C1357" s="444"/>
      <c r="D1357" s="444"/>
      <c r="E1357" s="444"/>
      <c r="F1357" s="444"/>
      <c r="G1357" s="444"/>
      <c r="H1357" s="444"/>
      <c r="I1357" s="444"/>
      <c r="K1357" s="112"/>
      <c r="L1357" s="112"/>
      <c r="M1357" s="6"/>
    </row>
    <row r="1358" spans="1:13" x14ac:dyDescent="0.3">
      <c r="B1358" s="444"/>
      <c r="C1358" s="444"/>
      <c r="D1358" s="444"/>
      <c r="E1358" s="444"/>
      <c r="F1358" s="444"/>
      <c r="G1358" s="444"/>
      <c r="H1358" s="444"/>
      <c r="I1358" s="444"/>
      <c r="K1358" s="178"/>
      <c r="L1358" s="178"/>
      <c r="M1358" s="6"/>
    </row>
    <row r="1359" spans="1:13" x14ac:dyDescent="0.3">
      <c r="A1359" s="179"/>
      <c r="B1359" s="444"/>
      <c r="C1359" s="444"/>
      <c r="D1359" s="444"/>
      <c r="E1359" s="444"/>
      <c r="F1359" s="444"/>
      <c r="G1359" s="444"/>
      <c r="J1359" s="445"/>
      <c r="K1359" s="445"/>
      <c r="L1359" s="445"/>
      <c r="M1359" s="76"/>
    </row>
    <row r="1360" spans="1:13" x14ac:dyDescent="0.3">
      <c r="B1360" s="159"/>
      <c r="C1360" s="159"/>
      <c r="D1360" s="159"/>
      <c r="E1360" s="159"/>
      <c r="F1360" s="159"/>
      <c r="G1360" s="159"/>
      <c r="H1360" s="159"/>
      <c r="I1360" s="159"/>
      <c r="J1360" s="159"/>
      <c r="K1360" s="159"/>
      <c r="L1360" s="159"/>
      <c r="M1360" s="6"/>
    </row>
    <row r="1361" spans="1:13" ht="23.4" x14ac:dyDescent="0.45">
      <c r="A1361" s="52"/>
      <c r="B1361" s="446"/>
      <c r="C1361" s="446"/>
      <c r="D1361" s="446"/>
      <c r="E1361" s="446"/>
      <c r="F1361" s="446"/>
      <c r="G1361" s="446"/>
      <c r="H1361" s="446"/>
      <c r="I1361" s="446"/>
      <c r="J1361" s="52"/>
      <c r="M1361" s="28"/>
    </row>
    <row r="1362" spans="1:13" x14ac:dyDescent="0.3">
      <c r="B1362" s="444"/>
      <c r="C1362" s="444"/>
      <c r="D1362" s="444"/>
      <c r="E1362" s="444"/>
      <c r="F1362" s="444"/>
      <c r="G1362" s="444"/>
      <c r="H1362" s="444"/>
      <c r="I1362" s="444"/>
      <c r="J1362" s="444"/>
      <c r="K1362" s="444"/>
      <c r="L1362" s="444"/>
      <c r="M1362" s="13"/>
    </row>
    <row r="1363" spans="1:13" x14ac:dyDescent="0.3">
      <c r="B1363" s="454"/>
      <c r="C1363" s="454"/>
      <c r="D1363" s="454"/>
      <c r="E1363" s="454"/>
      <c r="K1363" s="444"/>
      <c r="L1363" s="444"/>
      <c r="M1363" s="13"/>
    </row>
    <row r="1364" spans="1:13" x14ac:dyDescent="0.3">
      <c r="A1364" s="52"/>
      <c r="B1364" s="454"/>
      <c r="C1364" s="454"/>
      <c r="D1364" s="454"/>
      <c r="E1364" s="454"/>
      <c r="F1364" s="52"/>
      <c r="G1364" s="52"/>
      <c r="H1364" s="52"/>
      <c r="I1364" s="52"/>
      <c r="J1364" s="52"/>
      <c r="K1364" s="444"/>
      <c r="L1364" s="444"/>
      <c r="M1364" s="34"/>
    </row>
    <row r="1365" spans="1:13" x14ac:dyDescent="0.3">
      <c r="A1365" s="13"/>
      <c r="B1365" s="455"/>
      <c r="C1365" s="455"/>
      <c r="D1365" s="455"/>
      <c r="E1365" s="455"/>
      <c r="F1365" s="445"/>
      <c r="G1365" s="445"/>
      <c r="H1365" s="445"/>
      <c r="I1365" s="445"/>
      <c r="J1365" s="445"/>
      <c r="K1365" s="445"/>
      <c r="L1365" s="445"/>
      <c r="M1365" s="34"/>
    </row>
    <row r="1366" spans="1:13" x14ac:dyDescent="0.3">
      <c r="A1366" s="13"/>
      <c r="K1366" s="6"/>
      <c r="L1366" s="6"/>
      <c r="M1366" s="74"/>
    </row>
    <row r="1367" spans="1:13" ht="23.4" x14ac:dyDescent="0.45">
      <c r="A1367" s="6"/>
      <c r="B1367" s="52"/>
      <c r="C1367" s="52"/>
      <c r="D1367" s="52"/>
      <c r="E1367" s="52"/>
      <c r="F1367" s="456"/>
      <c r="G1367" s="456"/>
      <c r="H1367" s="456"/>
      <c r="I1367" s="456"/>
      <c r="J1367" s="456"/>
      <c r="K1367" s="181"/>
      <c r="L1367" s="28"/>
      <c r="M1367" s="34"/>
    </row>
    <row r="1368" spans="1:13" x14ac:dyDescent="0.3">
      <c r="B1368" s="13"/>
      <c r="C1368" s="13"/>
      <c r="D1368" s="13"/>
      <c r="E1368" s="13"/>
      <c r="F1368" s="13"/>
      <c r="G1368" s="13"/>
      <c r="H1368" s="13"/>
      <c r="I1368" s="13"/>
      <c r="J1368" s="13"/>
      <c r="K1368" s="448"/>
      <c r="L1368" s="448"/>
      <c r="M1368" s="74"/>
    </row>
    <row r="1369" spans="1:13" x14ac:dyDescent="0.3">
      <c r="A1369" s="182"/>
      <c r="B1369" s="13"/>
      <c r="C1369" s="13"/>
      <c r="D1369" s="13"/>
      <c r="E1369" s="13"/>
      <c r="F1369" s="13"/>
      <c r="G1369" s="13"/>
      <c r="H1369" s="13"/>
      <c r="I1369" s="13"/>
      <c r="J1369" s="13"/>
      <c r="K1369" s="448"/>
      <c r="L1369" s="448"/>
      <c r="M1369" s="34"/>
    </row>
    <row r="1370" spans="1:13" x14ac:dyDescent="0.3">
      <c r="B1370" s="6"/>
      <c r="C1370" s="6"/>
      <c r="D1370" s="6"/>
      <c r="E1370" s="6"/>
      <c r="F1370" s="6"/>
      <c r="G1370" s="6"/>
      <c r="H1370" s="6"/>
      <c r="I1370" s="6"/>
      <c r="J1370" s="6"/>
      <c r="K1370" s="452"/>
      <c r="L1370" s="452"/>
      <c r="M1370" s="34"/>
    </row>
    <row r="1371" spans="1:13" x14ac:dyDescent="0.3">
      <c r="A1371" s="182"/>
      <c r="K1371" s="452"/>
      <c r="L1371" s="452"/>
      <c r="M1371" s="34"/>
    </row>
    <row r="1372" spans="1:13" x14ac:dyDescent="0.3">
      <c r="A1372" s="182"/>
      <c r="B1372" s="182"/>
      <c r="C1372" s="183"/>
      <c r="D1372" s="184"/>
      <c r="E1372" s="184"/>
      <c r="K1372" s="453"/>
      <c r="L1372" s="453"/>
      <c r="M1372" s="34"/>
    </row>
    <row r="1373" spans="1:13" x14ac:dyDescent="0.3">
      <c r="A1373" s="182"/>
      <c r="B1373" s="185"/>
      <c r="C1373" s="184"/>
      <c r="D1373" s="186"/>
      <c r="E1373" s="184"/>
      <c r="F1373" s="184"/>
      <c r="G1373" s="184"/>
      <c r="H1373" s="184"/>
      <c r="I1373" s="187"/>
      <c r="K1373" s="452"/>
      <c r="L1373" s="452"/>
      <c r="M1373" s="34"/>
    </row>
    <row r="1374" spans="1:13" x14ac:dyDescent="0.3">
      <c r="A1374" s="160"/>
      <c r="B1374" s="182"/>
      <c r="C1374" s="183"/>
      <c r="D1374" s="188"/>
      <c r="E1374" s="188"/>
      <c r="I1374" s="189"/>
      <c r="K1374" s="453"/>
      <c r="L1374" s="453"/>
      <c r="M1374" s="34"/>
    </row>
    <row r="1375" spans="1:13" x14ac:dyDescent="0.3">
      <c r="A1375" s="161"/>
      <c r="B1375" s="185"/>
      <c r="C1375" s="184"/>
      <c r="D1375" s="184"/>
      <c r="E1375" s="184"/>
      <c r="F1375" s="184"/>
      <c r="G1375" s="184"/>
      <c r="H1375" s="184"/>
      <c r="I1375" s="189"/>
      <c r="K1375" s="452"/>
      <c r="L1375" s="452"/>
      <c r="M1375" s="34"/>
    </row>
    <row r="1376" spans="1:13" ht="14.4" x14ac:dyDescent="0.3">
      <c r="A1376" s="162"/>
      <c r="B1376" s="190"/>
      <c r="C1376" s="187"/>
      <c r="D1376" s="191"/>
      <c r="E1376" s="192"/>
      <c r="F1376" s="128"/>
      <c r="G1376" s="128"/>
      <c r="H1376" s="128"/>
      <c r="I1376" s="189"/>
      <c r="K1376" s="452"/>
      <c r="L1376" s="452"/>
      <c r="M1376" s="34"/>
    </row>
    <row r="1377" spans="1:13" ht="14.4" x14ac:dyDescent="0.3">
      <c r="A1377" s="163"/>
      <c r="B1377" s="164"/>
      <c r="C1377" s="165"/>
      <c r="D1377" s="166"/>
      <c r="E1377" s="166"/>
      <c r="F1377" s="128"/>
      <c r="G1377" s="128"/>
      <c r="H1377" s="128"/>
      <c r="I1377" s="167"/>
      <c r="K1377" s="452"/>
      <c r="L1377" s="452"/>
      <c r="M1377" s="34"/>
    </row>
    <row r="1378" spans="1:13" ht="14.4" x14ac:dyDescent="0.3">
      <c r="A1378" s="168"/>
      <c r="B1378" s="169"/>
      <c r="C1378" s="165"/>
      <c r="D1378" s="170"/>
      <c r="E1378" s="128"/>
      <c r="F1378" s="128"/>
      <c r="G1378" s="128"/>
      <c r="H1378" s="128"/>
      <c r="I1378" s="167"/>
      <c r="J1378" s="6"/>
      <c r="K1378" s="452"/>
      <c r="L1378" s="452"/>
      <c r="M1378" s="74"/>
    </row>
    <row r="1379" spans="1:13" ht="14.4" x14ac:dyDescent="0.3">
      <c r="A1379" s="160"/>
      <c r="B1379" s="169"/>
      <c r="C1379" s="165"/>
      <c r="D1379" s="170"/>
      <c r="E1379" s="128"/>
      <c r="F1379" s="128"/>
      <c r="G1379" s="128"/>
      <c r="H1379" s="128"/>
      <c r="I1379" s="167"/>
      <c r="J1379" s="6"/>
      <c r="K1379" s="452"/>
      <c r="L1379" s="452"/>
      <c r="M1379" s="6"/>
    </row>
    <row r="1380" spans="1:13" ht="14.4" x14ac:dyDescent="0.3">
      <c r="B1380" s="169"/>
      <c r="C1380" s="128"/>
      <c r="D1380" s="170"/>
      <c r="E1380" s="128"/>
      <c r="F1380" s="128"/>
      <c r="G1380" s="128"/>
      <c r="H1380" s="128"/>
      <c r="I1380" s="167"/>
      <c r="K1380" s="452"/>
      <c r="L1380" s="452"/>
      <c r="M1380" s="6"/>
    </row>
    <row r="1381" spans="1:13" ht="14.4" x14ac:dyDescent="0.3">
      <c r="A1381" s="6"/>
      <c r="B1381" s="169"/>
      <c r="C1381" s="128"/>
      <c r="D1381" s="128"/>
      <c r="E1381" s="128"/>
      <c r="F1381" s="128"/>
      <c r="G1381" s="128"/>
      <c r="H1381" s="128"/>
      <c r="I1381" s="167"/>
      <c r="K1381" s="452"/>
      <c r="L1381" s="452"/>
      <c r="M1381" s="6"/>
    </row>
    <row r="1382" spans="1:13" x14ac:dyDescent="0.3">
      <c r="A1382" s="6"/>
      <c r="B1382" s="40"/>
      <c r="C1382" s="160"/>
      <c r="D1382" s="40"/>
      <c r="K1382" s="452"/>
      <c r="L1382" s="452"/>
      <c r="M1382" s="6"/>
    </row>
    <row r="1383" spans="1:13" x14ac:dyDescent="0.3">
      <c r="B1383" s="171"/>
      <c r="C1383" s="160"/>
      <c r="D1383" s="40"/>
      <c r="E1383" s="172"/>
      <c r="K1383" s="452"/>
      <c r="L1383" s="452"/>
      <c r="M1383" s="124"/>
    </row>
    <row r="1384" spans="1:13" x14ac:dyDescent="0.3">
      <c r="B1384" s="6"/>
      <c r="C1384" s="6"/>
      <c r="D1384" s="6"/>
      <c r="E1384" s="6"/>
      <c r="F1384" s="6"/>
      <c r="G1384" s="445"/>
      <c r="H1384" s="445"/>
      <c r="I1384" s="445"/>
      <c r="J1384" s="445"/>
      <c r="K1384" s="453"/>
      <c r="L1384" s="453"/>
      <c r="M1384" s="173"/>
    </row>
    <row r="1385" spans="1:13" x14ac:dyDescent="0.3">
      <c r="B1385" s="6"/>
      <c r="C1385" s="6"/>
      <c r="D1385" s="6"/>
      <c r="E1385" s="6"/>
      <c r="F1385" s="6"/>
      <c r="G1385" s="444"/>
      <c r="H1385" s="444"/>
      <c r="I1385" s="444"/>
      <c r="J1385" s="444"/>
      <c r="K1385" s="444"/>
      <c r="L1385" s="444"/>
      <c r="M1385" s="173"/>
    </row>
    <row r="1386" spans="1:13" x14ac:dyDescent="0.3">
      <c r="A1386" s="124"/>
      <c r="B1386" s="449"/>
      <c r="C1386" s="449"/>
      <c r="D1386" s="449"/>
      <c r="E1386" s="449"/>
      <c r="F1386" s="449"/>
      <c r="G1386" s="444"/>
      <c r="H1386" s="444"/>
      <c r="I1386" s="444"/>
      <c r="J1386" s="444"/>
      <c r="K1386" s="444"/>
      <c r="L1386" s="444"/>
      <c r="M1386" s="174"/>
    </row>
    <row r="1387" spans="1:13" x14ac:dyDescent="0.3">
      <c r="A1387" s="124"/>
      <c r="B1387" s="449"/>
      <c r="C1387" s="449"/>
      <c r="D1387" s="449"/>
      <c r="E1387" s="449"/>
      <c r="F1387" s="449"/>
      <c r="G1387" s="444"/>
      <c r="H1387" s="444"/>
      <c r="I1387" s="444"/>
      <c r="J1387" s="444"/>
      <c r="K1387" s="444"/>
      <c r="L1387" s="444"/>
      <c r="M1387" s="136"/>
    </row>
    <row r="1388" spans="1:13" x14ac:dyDescent="0.3">
      <c r="A1388" s="124"/>
      <c r="B1388" s="449"/>
      <c r="C1388" s="449"/>
      <c r="D1388" s="449"/>
      <c r="E1388" s="449"/>
      <c r="F1388" s="449"/>
      <c r="G1388" s="444"/>
      <c r="H1388" s="444"/>
      <c r="I1388" s="444"/>
      <c r="J1388" s="444"/>
      <c r="K1388" s="444"/>
      <c r="L1388" s="444"/>
      <c r="M1388" s="6"/>
    </row>
    <row r="1389" spans="1:13" x14ac:dyDescent="0.3">
      <c r="A1389" s="124"/>
      <c r="B1389" s="124"/>
      <c r="C1389" s="124"/>
      <c r="D1389" s="124"/>
      <c r="E1389" s="124"/>
      <c r="F1389" s="124"/>
      <c r="G1389" s="449"/>
      <c r="H1389" s="449"/>
      <c r="I1389" s="449"/>
      <c r="J1389" s="449"/>
      <c r="K1389" s="449"/>
      <c r="L1389" s="449"/>
    </row>
    <row r="1390" spans="1:13" x14ac:dyDescent="0.3">
      <c r="A1390" s="6"/>
      <c r="B1390" s="124"/>
      <c r="C1390" s="124"/>
      <c r="D1390" s="124"/>
      <c r="E1390" s="124"/>
      <c r="F1390" s="124"/>
      <c r="G1390" s="175"/>
      <c r="H1390" s="175"/>
      <c r="I1390" s="175"/>
      <c r="J1390" s="173"/>
      <c r="K1390" s="173"/>
      <c r="L1390" s="173"/>
    </row>
    <row r="1391" spans="1:13" x14ac:dyDescent="0.3">
      <c r="A1391" s="6"/>
      <c r="B1391" s="124"/>
      <c r="C1391" s="124"/>
      <c r="D1391" s="124"/>
      <c r="E1391" s="124"/>
      <c r="F1391" s="124"/>
      <c r="G1391" s="175"/>
      <c r="H1391" s="175"/>
      <c r="I1391" s="175"/>
      <c r="J1391" s="173"/>
      <c r="K1391" s="173"/>
      <c r="L1391" s="173"/>
      <c r="M1391" s="6"/>
    </row>
    <row r="1392" spans="1:13" x14ac:dyDescent="0.3">
      <c r="A1392" s="124"/>
      <c r="B1392" s="124"/>
      <c r="C1392" s="124"/>
      <c r="D1392" s="124"/>
      <c r="E1392" s="124"/>
      <c r="F1392" s="124"/>
      <c r="G1392" s="450"/>
      <c r="H1392" s="450"/>
      <c r="I1392" s="450"/>
      <c r="J1392" s="450"/>
      <c r="K1392" s="450"/>
      <c r="L1392" s="450"/>
      <c r="M1392" s="6"/>
    </row>
    <row r="1393" spans="1:13" x14ac:dyDescent="0.3">
      <c r="A1393" s="6"/>
      <c r="B1393" s="6"/>
      <c r="C1393" s="6"/>
      <c r="D1393" s="6"/>
      <c r="E1393" s="6"/>
      <c r="F1393" s="6"/>
      <c r="G1393" s="6"/>
      <c r="H1393" s="6"/>
      <c r="I1393" s="6"/>
      <c r="J1393" s="451"/>
      <c r="K1393" s="451"/>
      <c r="L1393" s="451"/>
      <c r="M1393" s="6"/>
    </row>
    <row r="1394" spans="1:13" x14ac:dyDescent="0.3">
      <c r="A1394" s="124"/>
      <c r="B1394" s="6"/>
      <c r="C1394" s="6"/>
      <c r="D1394" s="6"/>
      <c r="E1394" s="112"/>
      <c r="F1394" s="112"/>
      <c r="J1394" s="444"/>
      <c r="K1394" s="444"/>
      <c r="L1394" s="444"/>
      <c r="M1394" s="6"/>
    </row>
    <row r="1395" spans="1:13" x14ac:dyDescent="0.3">
      <c r="A1395" s="6"/>
      <c r="B1395" s="124"/>
      <c r="C1395" s="124"/>
      <c r="D1395" s="124"/>
      <c r="E1395" s="112"/>
      <c r="F1395" s="112"/>
      <c r="M1395" s="6"/>
    </row>
    <row r="1396" spans="1:13" x14ac:dyDescent="0.3">
      <c r="A1396" s="76"/>
      <c r="B1396" s="6"/>
      <c r="C1396" s="6"/>
      <c r="D1396" s="6"/>
      <c r="E1396" s="112"/>
      <c r="F1396" s="112"/>
    </row>
    <row r="1397" spans="1:13" x14ac:dyDescent="0.3">
      <c r="A1397" s="176"/>
      <c r="B1397" s="124"/>
      <c r="C1397" s="124"/>
      <c r="D1397" s="124"/>
      <c r="E1397" s="112"/>
      <c r="F1397" s="112"/>
      <c r="J1397" s="444"/>
      <c r="K1397" s="444"/>
      <c r="L1397" s="444"/>
    </row>
    <row r="1398" spans="1:13" x14ac:dyDescent="0.3">
      <c r="A1398" s="176"/>
      <c r="B1398" s="6"/>
      <c r="C1398" s="6"/>
      <c r="D1398" s="6"/>
      <c r="E1398" s="112"/>
      <c r="F1398" s="112"/>
      <c r="J1398" s="444"/>
      <c r="K1398" s="444"/>
      <c r="L1398" s="444"/>
      <c r="M1398" s="159"/>
    </row>
    <row r="1399" spans="1:13" x14ac:dyDescent="0.3">
      <c r="B1399" s="76"/>
      <c r="C1399" s="76"/>
      <c r="D1399" s="76"/>
      <c r="E1399" s="76"/>
      <c r="F1399" s="76"/>
      <c r="G1399" s="76"/>
      <c r="H1399" s="76"/>
      <c r="I1399" s="76"/>
      <c r="K1399" s="444"/>
      <c r="L1399" s="444"/>
      <c r="M1399" s="13"/>
    </row>
    <row r="1400" spans="1:13" x14ac:dyDescent="0.3">
      <c r="A1400" s="6"/>
      <c r="B1400" s="176"/>
      <c r="C1400" s="176"/>
      <c r="D1400" s="176"/>
      <c r="E1400" s="176"/>
      <c r="F1400" s="176"/>
      <c r="G1400" s="176"/>
      <c r="H1400" s="176"/>
      <c r="I1400" s="176"/>
      <c r="K1400" s="447"/>
      <c r="L1400" s="444"/>
      <c r="M1400" s="13"/>
    </row>
    <row r="1401" spans="1:13" x14ac:dyDescent="0.3">
      <c r="A1401" s="159"/>
      <c r="B1401" s="176"/>
      <c r="C1401" s="176"/>
      <c r="D1401" s="176"/>
      <c r="E1401" s="176"/>
      <c r="F1401" s="176"/>
      <c r="G1401" s="176"/>
      <c r="H1401" s="176"/>
      <c r="I1401" s="176"/>
      <c r="J1401" s="444"/>
      <c r="K1401" s="444"/>
      <c r="L1401" s="444"/>
      <c r="M1401" s="112"/>
    </row>
    <row r="1402" spans="1:13" x14ac:dyDescent="0.3">
      <c r="A1402" s="136"/>
      <c r="M1402" s="178"/>
    </row>
    <row r="1403" spans="1:13" x14ac:dyDescent="0.3">
      <c r="A1403" s="13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M1403" s="178"/>
    </row>
    <row r="1404" spans="1:13" x14ac:dyDescent="0.3">
      <c r="A1404" s="52"/>
      <c r="B1404" s="159"/>
      <c r="C1404" s="159"/>
      <c r="D1404" s="159"/>
      <c r="E1404" s="159"/>
      <c r="F1404" s="159"/>
      <c r="G1404" s="159"/>
      <c r="H1404" s="159"/>
      <c r="I1404" s="159"/>
      <c r="J1404" s="159"/>
      <c r="K1404" s="159"/>
      <c r="L1404" s="159"/>
      <c r="M1404" s="112"/>
    </row>
    <row r="1405" spans="1:13" x14ac:dyDescent="0.3">
      <c r="A1405" s="52"/>
      <c r="B1405" s="448"/>
      <c r="C1405" s="448"/>
      <c r="D1405" s="448"/>
      <c r="E1405" s="448"/>
      <c r="F1405" s="448"/>
      <c r="G1405" s="448"/>
      <c r="H1405" s="445"/>
      <c r="I1405" s="445"/>
      <c r="J1405" s="448"/>
      <c r="K1405" s="448"/>
      <c r="L1405" s="448"/>
      <c r="M1405" s="112"/>
    </row>
    <row r="1406" spans="1:13" x14ac:dyDescent="0.3">
      <c r="A1406" s="52"/>
      <c r="B1406" s="448"/>
      <c r="C1406" s="448"/>
      <c r="D1406" s="448"/>
      <c r="E1406" s="448"/>
      <c r="F1406" s="448"/>
      <c r="G1406" s="448"/>
      <c r="H1406" s="445"/>
      <c r="I1406" s="445"/>
      <c r="J1406" s="448"/>
      <c r="K1406" s="448"/>
      <c r="L1406" s="448"/>
      <c r="M1406" s="112"/>
    </row>
    <row r="1407" spans="1:13" x14ac:dyDescent="0.3">
      <c r="B1407" s="444"/>
      <c r="C1407" s="444"/>
      <c r="D1407" s="444"/>
      <c r="E1407" s="444"/>
      <c r="F1407" s="444"/>
      <c r="G1407" s="444"/>
      <c r="H1407" s="445"/>
      <c r="I1407" s="445"/>
      <c r="K1407" s="178"/>
      <c r="L1407" s="112"/>
      <c r="M1407" s="112"/>
    </row>
    <row r="1408" spans="1:13" x14ac:dyDescent="0.3">
      <c r="B1408" s="444"/>
      <c r="C1408" s="444"/>
      <c r="D1408" s="444"/>
      <c r="E1408" s="444"/>
      <c r="F1408" s="444"/>
      <c r="G1408" s="444"/>
      <c r="H1408" s="445"/>
      <c r="I1408" s="445"/>
      <c r="K1408" s="178"/>
      <c r="L1408" s="178"/>
      <c r="M1408" s="112"/>
    </row>
    <row r="1409" spans="1:13" x14ac:dyDescent="0.3">
      <c r="B1409" s="444"/>
      <c r="C1409" s="444"/>
      <c r="D1409" s="444"/>
      <c r="E1409" s="444"/>
      <c r="F1409" s="444"/>
      <c r="G1409" s="444"/>
      <c r="H1409" s="445"/>
      <c r="I1409" s="445"/>
      <c r="K1409" s="112"/>
      <c r="L1409" s="178"/>
      <c r="M1409" s="112"/>
    </row>
    <row r="1410" spans="1:13" x14ac:dyDescent="0.3">
      <c r="B1410" s="444"/>
      <c r="C1410" s="444"/>
      <c r="D1410" s="444"/>
      <c r="E1410" s="444"/>
      <c r="F1410" s="444"/>
      <c r="G1410" s="444"/>
      <c r="H1410" s="444"/>
      <c r="I1410" s="444"/>
      <c r="K1410" s="112"/>
      <c r="L1410" s="112"/>
      <c r="M1410" s="178"/>
    </row>
    <row r="1411" spans="1:13" x14ac:dyDescent="0.3">
      <c r="B1411" s="444"/>
      <c r="C1411" s="444"/>
      <c r="D1411" s="444"/>
      <c r="E1411" s="444"/>
      <c r="F1411" s="444"/>
      <c r="G1411" s="444"/>
      <c r="H1411" s="444"/>
      <c r="I1411" s="444"/>
      <c r="K1411" s="112"/>
      <c r="L1411" s="112"/>
      <c r="M1411" s="76"/>
    </row>
    <row r="1412" spans="1:13" x14ac:dyDescent="0.3">
      <c r="B1412" s="444"/>
      <c r="C1412" s="444"/>
      <c r="D1412" s="444"/>
      <c r="E1412" s="444"/>
      <c r="F1412" s="444"/>
      <c r="G1412" s="444"/>
      <c r="H1412" s="444"/>
      <c r="I1412" s="444"/>
      <c r="K1412" s="112"/>
      <c r="L1412" s="112"/>
      <c r="M1412" s="159"/>
    </row>
    <row r="1413" spans="1:13" x14ac:dyDescent="0.3">
      <c r="B1413" s="444"/>
      <c r="C1413" s="444"/>
      <c r="D1413" s="444"/>
      <c r="E1413" s="444"/>
      <c r="F1413" s="444"/>
      <c r="G1413" s="444"/>
      <c r="H1413" s="444"/>
      <c r="I1413" s="444"/>
      <c r="K1413" s="112"/>
      <c r="L1413" s="112"/>
    </row>
    <row r="1414" spans="1:13" x14ac:dyDescent="0.3">
      <c r="B1414" s="444"/>
      <c r="C1414" s="444"/>
      <c r="D1414" s="444"/>
      <c r="E1414" s="444"/>
      <c r="F1414" s="444"/>
      <c r="G1414" s="444"/>
      <c r="H1414" s="444"/>
      <c r="I1414" s="444"/>
      <c r="K1414" s="112"/>
      <c r="L1414" s="112"/>
      <c r="M1414" s="6"/>
    </row>
    <row r="1415" spans="1:13" x14ac:dyDescent="0.3">
      <c r="A1415" s="159"/>
      <c r="B1415" s="444"/>
      <c r="C1415" s="444"/>
      <c r="D1415" s="444"/>
      <c r="E1415" s="444"/>
      <c r="F1415" s="444"/>
      <c r="G1415" s="444"/>
      <c r="H1415" s="444"/>
      <c r="I1415" s="444"/>
      <c r="K1415" s="112"/>
      <c r="L1415" s="112"/>
    </row>
    <row r="1416" spans="1:13" x14ac:dyDescent="0.3">
      <c r="B1416" s="444"/>
      <c r="C1416" s="444"/>
      <c r="D1416" s="444"/>
      <c r="E1416" s="444"/>
      <c r="F1416" s="444"/>
      <c r="G1416" s="444"/>
      <c r="H1416" s="444"/>
      <c r="I1416" s="444"/>
      <c r="K1416" s="178"/>
      <c r="L1416" s="178"/>
    </row>
    <row r="1417" spans="1:13" x14ac:dyDescent="0.3">
      <c r="A1417" s="179"/>
      <c r="B1417" s="444"/>
      <c r="C1417" s="444"/>
      <c r="D1417" s="444"/>
      <c r="E1417" s="444"/>
      <c r="F1417" s="444"/>
      <c r="G1417" s="444"/>
      <c r="J1417" s="445"/>
      <c r="K1417" s="445"/>
      <c r="L1417" s="445"/>
    </row>
    <row r="1418" spans="1:13" x14ac:dyDescent="0.3">
      <c r="B1418" s="159"/>
      <c r="C1418" s="159"/>
      <c r="D1418" s="159"/>
      <c r="E1418" s="159"/>
      <c r="F1418" s="159"/>
      <c r="G1418" s="159"/>
      <c r="H1418" s="159"/>
      <c r="I1418" s="159"/>
      <c r="J1418" s="159"/>
      <c r="K1418" s="159"/>
      <c r="L1418" s="159"/>
    </row>
    <row r="1419" spans="1:13" x14ac:dyDescent="0.3">
      <c r="B1419" s="446"/>
      <c r="C1419" s="446"/>
      <c r="D1419" s="446"/>
      <c r="E1419" s="446"/>
      <c r="F1419" s="446"/>
      <c r="G1419" s="446"/>
      <c r="H1419" s="446"/>
      <c r="I1419" s="446"/>
      <c r="J1419" s="52"/>
    </row>
    <row r="1420" spans="1:13" x14ac:dyDescent="0.3">
      <c r="B1420" s="444"/>
      <c r="C1420" s="444"/>
      <c r="D1420" s="444"/>
      <c r="E1420" s="444"/>
      <c r="F1420" s="444"/>
      <c r="G1420" s="444"/>
      <c r="H1420" s="444"/>
      <c r="I1420" s="444"/>
      <c r="J1420" s="444"/>
      <c r="K1420" s="444"/>
      <c r="L1420" s="444"/>
    </row>
  </sheetData>
  <mergeCells count="1630">
    <mergeCell ref="A1:L1"/>
    <mergeCell ref="A2:L2"/>
    <mergeCell ref="A3:L3"/>
    <mergeCell ref="A4:L4"/>
    <mergeCell ref="A5:J7"/>
    <mergeCell ref="K5:L5"/>
    <mergeCell ref="I20:J20"/>
    <mergeCell ref="K20:L20"/>
    <mergeCell ref="K22:L22"/>
    <mergeCell ref="A23:C23"/>
    <mergeCell ref="K23:L23"/>
    <mergeCell ref="D27:J27"/>
    <mergeCell ref="K17:L17"/>
    <mergeCell ref="A18:E18"/>
    <mergeCell ref="I18:J18"/>
    <mergeCell ref="K18:L18"/>
    <mergeCell ref="A19:D19"/>
    <mergeCell ref="F19:H19"/>
    <mergeCell ref="I19:J19"/>
    <mergeCell ref="K19:L19"/>
    <mergeCell ref="K10:L10"/>
    <mergeCell ref="B11:E12"/>
    <mergeCell ref="G12:J12"/>
    <mergeCell ref="B13:L14"/>
    <mergeCell ref="A15:E16"/>
    <mergeCell ref="F15:H16"/>
    <mergeCell ref="I15:J16"/>
    <mergeCell ref="K15:L16"/>
    <mergeCell ref="B36:G36"/>
    <mergeCell ref="H36:J36"/>
    <mergeCell ref="B37:G37"/>
    <mergeCell ref="H37:J37"/>
    <mergeCell ref="B38:G38"/>
    <mergeCell ref="H38:J38"/>
    <mergeCell ref="B33:G33"/>
    <mergeCell ref="H33:J33"/>
    <mergeCell ref="B34:G34"/>
    <mergeCell ref="H34:J34"/>
    <mergeCell ref="B35:G35"/>
    <mergeCell ref="H35:J35"/>
    <mergeCell ref="D28:J28"/>
    <mergeCell ref="A30:L30"/>
    <mergeCell ref="B31:G32"/>
    <mergeCell ref="H31:J32"/>
    <mergeCell ref="K31:K32"/>
    <mergeCell ref="L31:L32"/>
    <mergeCell ref="B45:G45"/>
    <mergeCell ref="H45:J45"/>
    <mergeCell ref="B46:G46"/>
    <mergeCell ref="H46:J46"/>
    <mergeCell ref="B47:G47"/>
    <mergeCell ref="H47:J47"/>
    <mergeCell ref="B42:G42"/>
    <mergeCell ref="H42:J42"/>
    <mergeCell ref="B43:G43"/>
    <mergeCell ref="H43:J43"/>
    <mergeCell ref="B44:G44"/>
    <mergeCell ref="H44:J44"/>
    <mergeCell ref="B39:G39"/>
    <mergeCell ref="H39:J39"/>
    <mergeCell ref="B40:G40"/>
    <mergeCell ref="H40:J40"/>
    <mergeCell ref="B41:G41"/>
    <mergeCell ref="H41:J41"/>
    <mergeCell ref="B137:G137"/>
    <mergeCell ref="H137:I137"/>
    <mergeCell ref="B138:G138"/>
    <mergeCell ref="H138:I138"/>
    <mergeCell ref="B139:G139"/>
    <mergeCell ref="H139:I139"/>
    <mergeCell ref="B61:F61"/>
    <mergeCell ref="I61:L61"/>
    <mergeCell ref="B62:F62"/>
    <mergeCell ref="I62:L62"/>
    <mergeCell ref="G66:J66"/>
    <mergeCell ref="D67:J67"/>
    <mergeCell ref="H48:J48"/>
    <mergeCell ref="B49:G49"/>
    <mergeCell ref="H49:J49"/>
    <mergeCell ref="B50:G50"/>
    <mergeCell ref="H50:J50"/>
    <mergeCell ref="B60:F60"/>
    <mergeCell ref="I60:L60"/>
    <mergeCell ref="K150:L151"/>
    <mergeCell ref="K152:L152"/>
    <mergeCell ref="K153:L153"/>
    <mergeCell ref="K154:L154"/>
    <mergeCell ref="K155:L155"/>
    <mergeCell ref="K156:L156"/>
    <mergeCell ref="B145:E146"/>
    <mergeCell ref="K145:L145"/>
    <mergeCell ref="K146:L146"/>
    <mergeCell ref="B147:E147"/>
    <mergeCell ref="F147:L147"/>
    <mergeCell ref="F149:J149"/>
    <mergeCell ref="B140:G140"/>
    <mergeCell ref="H140:I140"/>
    <mergeCell ref="B141:G141"/>
    <mergeCell ref="J141:L141"/>
    <mergeCell ref="B143:I143"/>
    <mergeCell ref="B144:I144"/>
    <mergeCell ref="J144:L144"/>
    <mergeCell ref="B168:F168"/>
    <mergeCell ref="G168:L168"/>
    <mergeCell ref="B169:F169"/>
    <mergeCell ref="G169:L169"/>
    <mergeCell ref="B170:F170"/>
    <mergeCell ref="G170:L170"/>
    <mergeCell ref="K163:L163"/>
    <mergeCell ref="K164:L164"/>
    <mergeCell ref="K165:L165"/>
    <mergeCell ref="G166:J166"/>
    <mergeCell ref="K166:L166"/>
    <mergeCell ref="G167:L167"/>
    <mergeCell ref="K157:L157"/>
    <mergeCell ref="K158:L158"/>
    <mergeCell ref="K159:L159"/>
    <mergeCell ref="K160:L160"/>
    <mergeCell ref="K161:L161"/>
    <mergeCell ref="K162:L162"/>
    <mergeCell ref="B189:G189"/>
    <mergeCell ref="H189:I189"/>
    <mergeCell ref="B190:G190"/>
    <mergeCell ref="H190:I190"/>
    <mergeCell ref="B191:G191"/>
    <mergeCell ref="H191:I191"/>
    <mergeCell ref="K181:L181"/>
    <mergeCell ref="K182:L182"/>
    <mergeCell ref="J183:L183"/>
    <mergeCell ref="B187:G188"/>
    <mergeCell ref="H187:I187"/>
    <mergeCell ref="J187:J188"/>
    <mergeCell ref="K187:K188"/>
    <mergeCell ref="L187:L188"/>
    <mergeCell ref="H188:I188"/>
    <mergeCell ref="G171:L171"/>
    <mergeCell ref="G174:L174"/>
    <mergeCell ref="J175:L175"/>
    <mergeCell ref="J176:L176"/>
    <mergeCell ref="J179:L179"/>
    <mergeCell ref="J180:L180"/>
    <mergeCell ref="B198:G198"/>
    <mergeCell ref="H198:I198"/>
    <mergeCell ref="B199:G199"/>
    <mergeCell ref="J199:L199"/>
    <mergeCell ref="B201:I201"/>
    <mergeCell ref="B202:I202"/>
    <mergeCell ref="J202:L202"/>
    <mergeCell ref="B195:G195"/>
    <mergeCell ref="H195:I195"/>
    <mergeCell ref="B196:G196"/>
    <mergeCell ref="H196:I196"/>
    <mergeCell ref="B197:G197"/>
    <mergeCell ref="H197:I197"/>
    <mergeCell ref="B192:G192"/>
    <mergeCell ref="H192:I192"/>
    <mergeCell ref="B193:G193"/>
    <mergeCell ref="H193:I193"/>
    <mergeCell ref="B194:G194"/>
    <mergeCell ref="H194:I194"/>
    <mergeCell ref="K215:L215"/>
    <mergeCell ref="K216:L216"/>
    <mergeCell ref="K217:L217"/>
    <mergeCell ref="K218:L218"/>
    <mergeCell ref="K219:L219"/>
    <mergeCell ref="K220:L220"/>
    <mergeCell ref="K208:L209"/>
    <mergeCell ref="K210:L210"/>
    <mergeCell ref="K211:L211"/>
    <mergeCell ref="K212:L212"/>
    <mergeCell ref="K213:L213"/>
    <mergeCell ref="K214:L214"/>
    <mergeCell ref="B203:E204"/>
    <mergeCell ref="K203:L203"/>
    <mergeCell ref="K204:L204"/>
    <mergeCell ref="B205:E205"/>
    <mergeCell ref="F205:L205"/>
    <mergeCell ref="F207:J207"/>
    <mergeCell ref="G229:L229"/>
    <mergeCell ref="G232:L232"/>
    <mergeCell ref="J233:L233"/>
    <mergeCell ref="J234:L234"/>
    <mergeCell ref="J237:L237"/>
    <mergeCell ref="J238:L238"/>
    <mergeCell ref="B226:F226"/>
    <mergeCell ref="G226:L226"/>
    <mergeCell ref="B227:F227"/>
    <mergeCell ref="G227:L227"/>
    <mergeCell ref="B228:F228"/>
    <mergeCell ref="G228:L228"/>
    <mergeCell ref="K221:L221"/>
    <mergeCell ref="K222:L222"/>
    <mergeCell ref="K223:L223"/>
    <mergeCell ref="G224:J224"/>
    <mergeCell ref="K224:L224"/>
    <mergeCell ref="G225:L225"/>
    <mergeCell ref="B250:G250"/>
    <mergeCell ref="H250:I250"/>
    <mergeCell ref="B251:G251"/>
    <mergeCell ref="H251:I251"/>
    <mergeCell ref="B252:G252"/>
    <mergeCell ref="H252:I252"/>
    <mergeCell ref="B247:G247"/>
    <mergeCell ref="H247:I247"/>
    <mergeCell ref="B248:G248"/>
    <mergeCell ref="H248:I248"/>
    <mergeCell ref="B249:G249"/>
    <mergeCell ref="H249:I249"/>
    <mergeCell ref="K239:L239"/>
    <mergeCell ref="K240:L240"/>
    <mergeCell ref="J241:L241"/>
    <mergeCell ref="B245:G246"/>
    <mergeCell ref="H245:I245"/>
    <mergeCell ref="J245:J246"/>
    <mergeCell ref="K245:K246"/>
    <mergeCell ref="L245:L246"/>
    <mergeCell ref="H246:I246"/>
    <mergeCell ref="B261:E262"/>
    <mergeCell ref="K261:L261"/>
    <mergeCell ref="K262:L262"/>
    <mergeCell ref="B263:E263"/>
    <mergeCell ref="F263:L263"/>
    <mergeCell ref="F265:J265"/>
    <mergeCell ref="B256:G256"/>
    <mergeCell ref="H256:I256"/>
    <mergeCell ref="B257:G257"/>
    <mergeCell ref="J257:L257"/>
    <mergeCell ref="B259:I259"/>
    <mergeCell ref="B260:I260"/>
    <mergeCell ref="J260:L260"/>
    <mergeCell ref="B253:G253"/>
    <mergeCell ref="H253:I253"/>
    <mergeCell ref="B254:G254"/>
    <mergeCell ref="H254:I254"/>
    <mergeCell ref="B255:G255"/>
    <mergeCell ref="H255:I255"/>
    <mergeCell ref="K279:L279"/>
    <mergeCell ref="K280:L280"/>
    <mergeCell ref="K281:L281"/>
    <mergeCell ref="G282:J282"/>
    <mergeCell ref="K282:L282"/>
    <mergeCell ref="G283:L283"/>
    <mergeCell ref="K273:L273"/>
    <mergeCell ref="K274:L274"/>
    <mergeCell ref="K275:L275"/>
    <mergeCell ref="K276:L276"/>
    <mergeCell ref="K277:L277"/>
    <mergeCell ref="K278:L278"/>
    <mergeCell ref="K266:L267"/>
    <mergeCell ref="K268:L268"/>
    <mergeCell ref="K269:L269"/>
    <mergeCell ref="K270:L270"/>
    <mergeCell ref="K271:L271"/>
    <mergeCell ref="K272:L272"/>
    <mergeCell ref="K297:L297"/>
    <mergeCell ref="K298:L298"/>
    <mergeCell ref="J299:L299"/>
    <mergeCell ref="B303:G304"/>
    <mergeCell ref="H303:I303"/>
    <mergeCell ref="J303:J304"/>
    <mergeCell ref="K303:K304"/>
    <mergeCell ref="L303:L304"/>
    <mergeCell ref="H304:I304"/>
    <mergeCell ref="G287:L287"/>
    <mergeCell ref="G290:L290"/>
    <mergeCell ref="J291:L291"/>
    <mergeCell ref="J292:L292"/>
    <mergeCell ref="J295:L295"/>
    <mergeCell ref="J296:L296"/>
    <mergeCell ref="B284:F284"/>
    <mergeCell ref="G284:L284"/>
    <mergeCell ref="B285:F285"/>
    <mergeCell ref="G285:L285"/>
    <mergeCell ref="B286:F286"/>
    <mergeCell ref="G286:L286"/>
    <mergeCell ref="B311:G311"/>
    <mergeCell ref="H311:I311"/>
    <mergeCell ref="B312:G312"/>
    <mergeCell ref="H312:I312"/>
    <mergeCell ref="B313:G313"/>
    <mergeCell ref="H313:I313"/>
    <mergeCell ref="B308:G308"/>
    <mergeCell ref="H308:I308"/>
    <mergeCell ref="B309:G309"/>
    <mergeCell ref="H309:I309"/>
    <mergeCell ref="B310:G310"/>
    <mergeCell ref="H310:I310"/>
    <mergeCell ref="B305:G305"/>
    <mergeCell ref="H305:I305"/>
    <mergeCell ref="B306:G306"/>
    <mergeCell ref="H306:I306"/>
    <mergeCell ref="B307:G307"/>
    <mergeCell ref="H307:I307"/>
    <mergeCell ref="K324:L325"/>
    <mergeCell ref="K326:L326"/>
    <mergeCell ref="K327:L327"/>
    <mergeCell ref="K328:L328"/>
    <mergeCell ref="K329:L329"/>
    <mergeCell ref="K330:L330"/>
    <mergeCell ref="B319:E320"/>
    <mergeCell ref="K319:L319"/>
    <mergeCell ref="K320:L320"/>
    <mergeCell ref="B321:E321"/>
    <mergeCell ref="F321:L321"/>
    <mergeCell ref="F323:J323"/>
    <mergeCell ref="B314:G314"/>
    <mergeCell ref="H314:I314"/>
    <mergeCell ref="B315:G315"/>
    <mergeCell ref="J315:L315"/>
    <mergeCell ref="B317:I317"/>
    <mergeCell ref="B318:I318"/>
    <mergeCell ref="J318:L318"/>
    <mergeCell ref="B342:F342"/>
    <mergeCell ref="G342:L342"/>
    <mergeCell ref="B343:F343"/>
    <mergeCell ref="G343:L343"/>
    <mergeCell ref="B344:F344"/>
    <mergeCell ref="G344:L344"/>
    <mergeCell ref="K337:L337"/>
    <mergeCell ref="K338:L338"/>
    <mergeCell ref="K339:L339"/>
    <mergeCell ref="G340:J340"/>
    <mergeCell ref="K340:L340"/>
    <mergeCell ref="G341:L341"/>
    <mergeCell ref="K331:L331"/>
    <mergeCell ref="K332:L332"/>
    <mergeCell ref="K333:L333"/>
    <mergeCell ref="K334:L334"/>
    <mergeCell ref="K335:L335"/>
    <mergeCell ref="K336:L336"/>
    <mergeCell ref="B363:G363"/>
    <mergeCell ref="H363:I363"/>
    <mergeCell ref="B364:G364"/>
    <mergeCell ref="H364:I364"/>
    <mergeCell ref="B365:G365"/>
    <mergeCell ref="H365:I365"/>
    <mergeCell ref="K355:L355"/>
    <mergeCell ref="K356:L356"/>
    <mergeCell ref="J357:L357"/>
    <mergeCell ref="B361:G362"/>
    <mergeCell ref="H361:I361"/>
    <mergeCell ref="J361:J362"/>
    <mergeCell ref="K361:K362"/>
    <mergeCell ref="L361:L362"/>
    <mergeCell ref="H362:I362"/>
    <mergeCell ref="G345:L345"/>
    <mergeCell ref="G348:L348"/>
    <mergeCell ref="J349:L349"/>
    <mergeCell ref="J350:L350"/>
    <mergeCell ref="J353:L353"/>
    <mergeCell ref="J354:L354"/>
    <mergeCell ref="B372:G372"/>
    <mergeCell ref="H372:I372"/>
    <mergeCell ref="B373:G373"/>
    <mergeCell ref="J373:L373"/>
    <mergeCell ref="B375:I375"/>
    <mergeCell ref="B376:I376"/>
    <mergeCell ref="J376:L376"/>
    <mergeCell ref="B369:G369"/>
    <mergeCell ref="H369:I369"/>
    <mergeCell ref="B370:G370"/>
    <mergeCell ref="H370:I370"/>
    <mergeCell ref="B371:G371"/>
    <mergeCell ref="H371:I371"/>
    <mergeCell ref="B366:G366"/>
    <mergeCell ref="H366:I366"/>
    <mergeCell ref="B367:G367"/>
    <mergeCell ref="H367:I367"/>
    <mergeCell ref="B368:G368"/>
    <mergeCell ref="H368:I368"/>
    <mergeCell ref="K389:L389"/>
    <mergeCell ref="K390:L390"/>
    <mergeCell ref="K391:L391"/>
    <mergeCell ref="K392:L392"/>
    <mergeCell ref="K393:L393"/>
    <mergeCell ref="K394:L394"/>
    <mergeCell ref="K382:L383"/>
    <mergeCell ref="K384:L384"/>
    <mergeCell ref="K385:L385"/>
    <mergeCell ref="K386:L386"/>
    <mergeCell ref="K387:L387"/>
    <mergeCell ref="K388:L388"/>
    <mergeCell ref="B377:E378"/>
    <mergeCell ref="K377:L377"/>
    <mergeCell ref="K378:L378"/>
    <mergeCell ref="B379:E379"/>
    <mergeCell ref="F379:L379"/>
    <mergeCell ref="F381:J381"/>
    <mergeCell ref="G403:L403"/>
    <mergeCell ref="G406:L406"/>
    <mergeCell ref="J407:L407"/>
    <mergeCell ref="J408:L408"/>
    <mergeCell ref="J411:L411"/>
    <mergeCell ref="J412:L412"/>
    <mergeCell ref="B400:F400"/>
    <mergeCell ref="G400:L400"/>
    <mergeCell ref="B401:F401"/>
    <mergeCell ref="G401:L401"/>
    <mergeCell ref="B402:F402"/>
    <mergeCell ref="G402:L402"/>
    <mergeCell ref="K395:L395"/>
    <mergeCell ref="K396:L396"/>
    <mergeCell ref="K397:L397"/>
    <mergeCell ref="G398:J398"/>
    <mergeCell ref="K398:L398"/>
    <mergeCell ref="G399:L399"/>
    <mergeCell ref="B424:G424"/>
    <mergeCell ref="H424:I424"/>
    <mergeCell ref="B425:G425"/>
    <mergeCell ref="H425:I425"/>
    <mergeCell ref="B426:G426"/>
    <mergeCell ref="H426:I426"/>
    <mergeCell ref="B421:G421"/>
    <mergeCell ref="H421:I421"/>
    <mergeCell ref="B422:G422"/>
    <mergeCell ref="H422:I422"/>
    <mergeCell ref="B423:G423"/>
    <mergeCell ref="H423:I423"/>
    <mergeCell ref="K413:L413"/>
    <mergeCell ref="K414:L414"/>
    <mergeCell ref="J415:L415"/>
    <mergeCell ref="B419:G420"/>
    <mergeCell ref="H419:I419"/>
    <mergeCell ref="J419:J420"/>
    <mergeCell ref="K419:K420"/>
    <mergeCell ref="L419:L420"/>
    <mergeCell ref="H420:I420"/>
    <mergeCell ref="B435:E436"/>
    <mergeCell ref="K435:L435"/>
    <mergeCell ref="K436:L436"/>
    <mergeCell ref="B437:E437"/>
    <mergeCell ref="F437:L437"/>
    <mergeCell ref="F439:J439"/>
    <mergeCell ref="B430:G430"/>
    <mergeCell ref="H430:I430"/>
    <mergeCell ref="B431:G431"/>
    <mergeCell ref="J431:L431"/>
    <mergeCell ref="B433:I433"/>
    <mergeCell ref="B434:I434"/>
    <mergeCell ref="J434:L434"/>
    <mergeCell ref="B427:G427"/>
    <mergeCell ref="H427:I427"/>
    <mergeCell ref="B428:G428"/>
    <mergeCell ref="H428:I428"/>
    <mergeCell ref="B429:G429"/>
    <mergeCell ref="H429:I429"/>
    <mergeCell ref="K453:L453"/>
    <mergeCell ref="K454:L454"/>
    <mergeCell ref="K455:L455"/>
    <mergeCell ref="G456:J456"/>
    <mergeCell ref="K456:L456"/>
    <mergeCell ref="G457:L457"/>
    <mergeCell ref="K447:L447"/>
    <mergeCell ref="K448:L448"/>
    <mergeCell ref="K449:L449"/>
    <mergeCell ref="K450:L450"/>
    <mergeCell ref="K451:L451"/>
    <mergeCell ref="K452:L452"/>
    <mergeCell ref="K440:L441"/>
    <mergeCell ref="K442:L442"/>
    <mergeCell ref="K443:L443"/>
    <mergeCell ref="K444:L444"/>
    <mergeCell ref="K445:L445"/>
    <mergeCell ref="K446:L446"/>
    <mergeCell ref="K471:L471"/>
    <mergeCell ref="K472:L472"/>
    <mergeCell ref="J473:L473"/>
    <mergeCell ref="B477:G478"/>
    <mergeCell ref="H477:I477"/>
    <mergeCell ref="J477:J478"/>
    <mergeCell ref="K477:K478"/>
    <mergeCell ref="L477:L478"/>
    <mergeCell ref="H478:I478"/>
    <mergeCell ref="G461:L461"/>
    <mergeCell ref="G464:L464"/>
    <mergeCell ref="J465:L465"/>
    <mergeCell ref="J466:L466"/>
    <mergeCell ref="J469:L469"/>
    <mergeCell ref="J470:L470"/>
    <mergeCell ref="B458:F458"/>
    <mergeCell ref="G458:L458"/>
    <mergeCell ref="B459:F459"/>
    <mergeCell ref="G459:L459"/>
    <mergeCell ref="B460:F460"/>
    <mergeCell ref="G460:L460"/>
    <mergeCell ref="B485:G485"/>
    <mergeCell ref="H485:I485"/>
    <mergeCell ref="B486:G486"/>
    <mergeCell ref="H486:I486"/>
    <mergeCell ref="B487:G487"/>
    <mergeCell ref="H487:I487"/>
    <mergeCell ref="B482:G482"/>
    <mergeCell ref="H482:I482"/>
    <mergeCell ref="B483:G483"/>
    <mergeCell ref="H483:I483"/>
    <mergeCell ref="B484:G484"/>
    <mergeCell ref="H484:I484"/>
    <mergeCell ref="B479:G479"/>
    <mergeCell ref="H479:I479"/>
    <mergeCell ref="B480:G480"/>
    <mergeCell ref="H480:I480"/>
    <mergeCell ref="B481:G481"/>
    <mergeCell ref="H481:I481"/>
    <mergeCell ref="K498:L499"/>
    <mergeCell ref="K500:L500"/>
    <mergeCell ref="K501:L501"/>
    <mergeCell ref="K502:L502"/>
    <mergeCell ref="K503:L503"/>
    <mergeCell ref="K504:L504"/>
    <mergeCell ref="B493:E494"/>
    <mergeCell ref="K493:L493"/>
    <mergeCell ref="K494:L494"/>
    <mergeCell ref="B495:E495"/>
    <mergeCell ref="F495:L495"/>
    <mergeCell ref="F497:J497"/>
    <mergeCell ref="B488:G488"/>
    <mergeCell ref="H488:I488"/>
    <mergeCell ref="B489:G489"/>
    <mergeCell ref="J489:L489"/>
    <mergeCell ref="B491:I491"/>
    <mergeCell ref="B492:I492"/>
    <mergeCell ref="J492:L492"/>
    <mergeCell ref="B516:F516"/>
    <mergeCell ref="G516:L516"/>
    <mergeCell ref="B517:F517"/>
    <mergeCell ref="G517:L517"/>
    <mergeCell ref="B518:F518"/>
    <mergeCell ref="G518:L518"/>
    <mergeCell ref="K511:L511"/>
    <mergeCell ref="K512:L512"/>
    <mergeCell ref="K513:L513"/>
    <mergeCell ref="G514:J514"/>
    <mergeCell ref="K514:L514"/>
    <mergeCell ref="G515:L515"/>
    <mergeCell ref="K505:L505"/>
    <mergeCell ref="K506:L506"/>
    <mergeCell ref="K507:L507"/>
    <mergeCell ref="K508:L508"/>
    <mergeCell ref="K509:L509"/>
    <mergeCell ref="K510:L510"/>
    <mergeCell ref="B537:G537"/>
    <mergeCell ref="H537:I537"/>
    <mergeCell ref="B538:G538"/>
    <mergeCell ref="H538:I538"/>
    <mergeCell ref="B539:G539"/>
    <mergeCell ref="H539:I539"/>
    <mergeCell ref="K529:L529"/>
    <mergeCell ref="K530:L530"/>
    <mergeCell ref="J531:L531"/>
    <mergeCell ref="B535:G536"/>
    <mergeCell ref="H535:I535"/>
    <mergeCell ref="J535:J536"/>
    <mergeCell ref="K535:K536"/>
    <mergeCell ref="L535:L536"/>
    <mergeCell ref="H536:I536"/>
    <mergeCell ref="G519:L519"/>
    <mergeCell ref="G522:L522"/>
    <mergeCell ref="J523:L523"/>
    <mergeCell ref="J524:L524"/>
    <mergeCell ref="J527:L527"/>
    <mergeCell ref="J528:L528"/>
    <mergeCell ref="B546:G546"/>
    <mergeCell ref="H546:I546"/>
    <mergeCell ref="B547:G547"/>
    <mergeCell ref="J547:L547"/>
    <mergeCell ref="B549:I549"/>
    <mergeCell ref="B550:I550"/>
    <mergeCell ref="J550:L550"/>
    <mergeCell ref="B543:G543"/>
    <mergeCell ref="H543:I543"/>
    <mergeCell ref="B544:G544"/>
    <mergeCell ref="H544:I544"/>
    <mergeCell ref="B545:G545"/>
    <mergeCell ref="H545:I545"/>
    <mergeCell ref="B540:G540"/>
    <mergeCell ref="H540:I540"/>
    <mergeCell ref="B541:G541"/>
    <mergeCell ref="H541:I541"/>
    <mergeCell ref="B542:G542"/>
    <mergeCell ref="H542:I542"/>
    <mergeCell ref="K563:L563"/>
    <mergeCell ref="K564:L564"/>
    <mergeCell ref="K565:L565"/>
    <mergeCell ref="K566:L566"/>
    <mergeCell ref="K567:L567"/>
    <mergeCell ref="K568:L568"/>
    <mergeCell ref="K556:L557"/>
    <mergeCell ref="K558:L558"/>
    <mergeCell ref="K559:L559"/>
    <mergeCell ref="K560:L560"/>
    <mergeCell ref="K561:L561"/>
    <mergeCell ref="K562:L562"/>
    <mergeCell ref="B551:E552"/>
    <mergeCell ref="K551:L551"/>
    <mergeCell ref="K552:L552"/>
    <mergeCell ref="B553:E553"/>
    <mergeCell ref="F553:L553"/>
    <mergeCell ref="F555:J555"/>
    <mergeCell ref="G577:L577"/>
    <mergeCell ref="G580:L580"/>
    <mergeCell ref="J581:L581"/>
    <mergeCell ref="J582:L582"/>
    <mergeCell ref="J585:L585"/>
    <mergeCell ref="J586:L586"/>
    <mergeCell ref="B574:F574"/>
    <mergeCell ref="G574:L574"/>
    <mergeCell ref="B575:F575"/>
    <mergeCell ref="G575:L575"/>
    <mergeCell ref="B576:F576"/>
    <mergeCell ref="G576:L576"/>
    <mergeCell ref="K569:L569"/>
    <mergeCell ref="K570:L570"/>
    <mergeCell ref="K571:L571"/>
    <mergeCell ref="G572:J572"/>
    <mergeCell ref="K572:L572"/>
    <mergeCell ref="G573:L573"/>
    <mergeCell ref="B598:G598"/>
    <mergeCell ref="H598:I598"/>
    <mergeCell ref="B599:G599"/>
    <mergeCell ref="H599:I599"/>
    <mergeCell ref="B600:G600"/>
    <mergeCell ref="H600:I600"/>
    <mergeCell ref="B595:G595"/>
    <mergeCell ref="H595:I595"/>
    <mergeCell ref="B596:G596"/>
    <mergeCell ref="H596:I596"/>
    <mergeCell ref="B597:G597"/>
    <mergeCell ref="H597:I597"/>
    <mergeCell ref="K587:L587"/>
    <mergeCell ref="K588:L588"/>
    <mergeCell ref="J589:L589"/>
    <mergeCell ref="B593:G594"/>
    <mergeCell ref="H593:I593"/>
    <mergeCell ref="J593:J594"/>
    <mergeCell ref="K593:K594"/>
    <mergeCell ref="L593:L594"/>
    <mergeCell ref="H594:I594"/>
    <mergeCell ref="B609:E610"/>
    <mergeCell ref="K609:L609"/>
    <mergeCell ref="K610:L610"/>
    <mergeCell ref="B611:E611"/>
    <mergeCell ref="F611:L611"/>
    <mergeCell ref="F613:J613"/>
    <mergeCell ref="B604:G604"/>
    <mergeCell ref="H604:I604"/>
    <mergeCell ref="B605:G605"/>
    <mergeCell ref="J605:L605"/>
    <mergeCell ref="B607:I607"/>
    <mergeCell ref="B608:I608"/>
    <mergeCell ref="J608:L608"/>
    <mergeCell ref="B601:G601"/>
    <mergeCell ref="H601:I601"/>
    <mergeCell ref="B602:G602"/>
    <mergeCell ref="H602:I602"/>
    <mergeCell ref="B603:G603"/>
    <mergeCell ref="H603:I603"/>
    <mergeCell ref="K627:L627"/>
    <mergeCell ref="K628:L628"/>
    <mergeCell ref="K629:L629"/>
    <mergeCell ref="G630:J630"/>
    <mergeCell ref="K630:L630"/>
    <mergeCell ref="G631:L631"/>
    <mergeCell ref="K621:L621"/>
    <mergeCell ref="K622:L622"/>
    <mergeCell ref="K623:L623"/>
    <mergeCell ref="K624:L624"/>
    <mergeCell ref="K625:L625"/>
    <mergeCell ref="K626:L626"/>
    <mergeCell ref="K614:L615"/>
    <mergeCell ref="K616:L616"/>
    <mergeCell ref="K617:L617"/>
    <mergeCell ref="K618:L618"/>
    <mergeCell ref="K619:L619"/>
    <mergeCell ref="K620:L620"/>
    <mergeCell ref="K645:L645"/>
    <mergeCell ref="K646:L646"/>
    <mergeCell ref="J647:L647"/>
    <mergeCell ref="B651:G652"/>
    <mergeCell ref="H651:I651"/>
    <mergeCell ref="J651:J652"/>
    <mergeCell ref="K651:K652"/>
    <mergeCell ref="L651:L652"/>
    <mergeCell ref="H652:I652"/>
    <mergeCell ref="G635:L635"/>
    <mergeCell ref="G638:L638"/>
    <mergeCell ref="J639:L639"/>
    <mergeCell ref="J640:L640"/>
    <mergeCell ref="J643:L643"/>
    <mergeCell ref="J644:L644"/>
    <mergeCell ref="B632:F632"/>
    <mergeCell ref="G632:L632"/>
    <mergeCell ref="B633:F633"/>
    <mergeCell ref="G633:L633"/>
    <mergeCell ref="B634:F634"/>
    <mergeCell ref="G634:L634"/>
    <mergeCell ref="B659:G659"/>
    <mergeCell ref="H659:I659"/>
    <mergeCell ref="B660:G660"/>
    <mergeCell ref="H660:I660"/>
    <mergeCell ref="B661:G661"/>
    <mergeCell ref="H661:I661"/>
    <mergeCell ref="B656:G656"/>
    <mergeCell ref="H656:I656"/>
    <mergeCell ref="B657:G657"/>
    <mergeCell ref="H657:I657"/>
    <mergeCell ref="B658:G658"/>
    <mergeCell ref="H658:I658"/>
    <mergeCell ref="B653:G653"/>
    <mergeCell ref="H653:I653"/>
    <mergeCell ref="B654:G654"/>
    <mergeCell ref="H654:I654"/>
    <mergeCell ref="B655:G655"/>
    <mergeCell ref="H655:I655"/>
    <mergeCell ref="K672:L673"/>
    <mergeCell ref="K674:L674"/>
    <mergeCell ref="K675:L675"/>
    <mergeCell ref="K676:L676"/>
    <mergeCell ref="K677:L677"/>
    <mergeCell ref="K678:L678"/>
    <mergeCell ref="B667:E668"/>
    <mergeCell ref="K667:L667"/>
    <mergeCell ref="K668:L668"/>
    <mergeCell ref="B669:E669"/>
    <mergeCell ref="F669:L669"/>
    <mergeCell ref="F671:J671"/>
    <mergeCell ref="B662:G662"/>
    <mergeCell ref="H662:I662"/>
    <mergeCell ref="B663:G663"/>
    <mergeCell ref="J663:L663"/>
    <mergeCell ref="B665:I665"/>
    <mergeCell ref="B666:I666"/>
    <mergeCell ref="J666:L666"/>
    <mergeCell ref="B690:F690"/>
    <mergeCell ref="G690:L690"/>
    <mergeCell ref="B691:F691"/>
    <mergeCell ref="G691:L691"/>
    <mergeCell ref="B692:F692"/>
    <mergeCell ref="G692:L692"/>
    <mergeCell ref="K685:L685"/>
    <mergeCell ref="K686:L686"/>
    <mergeCell ref="K687:L687"/>
    <mergeCell ref="G688:J688"/>
    <mergeCell ref="K688:L688"/>
    <mergeCell ref="G689:L689"/>
    <mergeCell ref="K679:L679"/>
    <mergeCell ref="K680:L680"/>
    <mergeCell ref="K681:L681"/>
    <mergeCell ref="K682:L682"/>
    <mergeCell ref="K683:L683"/>
    <mergeCell ref="K684:L684"/>
    <mergeCell ref="B711:G711"/>
    <mergeCell ref="H711:I711"/>
    <mergeCell ref="B712:G712"/>
    <mergeCell ref="H712:I712"/>
    <mergeCell ref="B713:G713"/>
    <mergeCell ref="H713:I713"/>
    <mergeCell ref="K703:L703"/>
    <mergeCell ref="K704:L704"/>
    <mergeCell ref="J705:L705"/>
    <mergeCell ref="B709:G710"/>
    <mergeCell ref="H709:I709"/>
    <mergeCell ref="J709:J710"/>
    <mergeCell ref="K709:K710"/>
    <mergeCell ref="L709:L710"/>
    <mergeCell ref="H710:I710"/>
    <mergeCell ref="G693:L693"/>
    <mergeCell ref="G696:L696"/>
    <mergeCell ref="J697:L697"/>
    <mergeCell ref="J698:L698"/>
    <mergeCell ref="J701:L701"/>
    <mergeCell ref="J702:L702"/>
    <mergeCell ref="B720:G720"/>
    <mergeCell ref="H720:I720"/>
    <mergeCell ref="B721:G721"/>
    <mergeCell ref="J721:L721"/>
    <mergeCell ref="B723:I723"/>
    <mergeCell ref="B724:I724"/>
    <mergeCell ref="J724:L724"/>
    <mergeCell ref="B717:G717"/>
    <mergeCell ref="H717:I717"/>
    <mergeCell ref="B718:G718"/>
    <mergeCell ref="H718:I718"/>
    <mergeCell ref="B719:G719"/>
    <mergeCell ref="H719:I719"/>
    <mergeCell ref="B714:G714"/>
    <mergeCell ref="H714:I714"/>
    <mergeCell ref="B715:G715"/>
    <mergeCell ref="H715:I715"/>
    <mergeCell ref="B716:G716"/>
    <mergeCell ref="H716:I716"/>
    <mergeCell ref="K737:L737"/>
    <mergeCell ref="K738:L738"/>
    <mergeCell ref="K739:L739"/>
    <mergeCell ref="K740:L740"/>
    <mergeCell ref="K741:L741"/>
    <mergeCell ref="K742:L742"/>
    <mergeCell ref="K730:L731"/>
    <mergeCell ref="K732:L732"/>
    <mergeCell ref="K733:L733"/>
    <mergeCell ref="K734:L734"/>
    <mergeCell ref="K735:L735"/>
    <mergeCell ref="K736:L736"/>
    <mergeCell ref="B725:E726"/>
    <mergeCell ref="K725:L725"/>
    <mergeCell ref="K726:L726"/>
    <mergeCell ref="B727:E727"/>
    <mergeCell ref="F727:L727"/>
    <mergeCell ref="F729:J729"/>
    <mergeCell ref="G751:L751"/>
    <mergeCell ref="G754:L754"/>
    <mergeCell ref="J755:L755"/>
    <mergeCell ref="J756:L756"/>
    <mergeCell ref="J759:L759"/>
    <mergeCell ref="J760:L760"/>
    <mergeCell ref="B748:F748"/>
    <mergeCell ref="G748:L748"/>
    <mergeCell ref="B749:F749"/>
    <mergeCell ref="G749:L749"/>
    <mergeCell ref="B750:F750"/>
    <mergeCell ref="G750:L750"/>
    <mergeCell ref="K743:L743"/>
    <mergeCell ref="K744:L744"/>
    <mergeCell ref="K745:L745"/>
    <mergeCell ref="G746:J746"/>
    <mergeCell ref="K746:L746"/>
    <mergeCell ref="G747:L747"/>
    <mergeCell ref="B772:G772"/>
    <mergeCell ref="H772:I772"/>
    <mergeCell ref="B773:G773"/>
    <mergeCell ref="H773:I773"/>
    <mergeCell ref="B774:G774"/>
    <mergeCell ref="H774:I774"/>
    <mergeCell ref="B769:G769"/>
    <mergeCell ref="H769:I769"/>
    <mergeCell ref="B770:G770"/>
    <mergeCell ref="H770:I770"/>
    <mergeCell ref="B771:G771"/>
    <mergeCell ref="H771:I771"/>
    <mergeCell ref="K761:L761"/>
    <mergeCell ref="K762:L762"/>
    <mergeCell ref="J763:L763"/>
    <mergeCell ref="B767:G768"/>
    <mergeCell ref="H767:I767"/>
    <mergeCell ref="J767:J768"/>
    <mergeCell ref="K767:K768"/>
    <mergeCell ref="L767:L768"/>
    <mergeCell ref="H768:I768"/>
    <mergeCell ref="B783:E784"/>
    <mergeCell ref="K783:L783"/>
    <mergeCell ref="K784:L784"/>
    <mergeCell ref="B785:E785"/>
    <mergeCell ref="F785:L785"/>
    <mergeCell ref="F787:J787"/>
    <mergeCell ref="B778:G778"/>
    <mergeCell ref="H778:I778"/>
    <mergeCell ref="B779:G779"/>
    <mergeCell ref="J779:L779"/>
    <mergeCell ref="B781:I781"/>
    <mergeCell ref="B782:I782"/>
    <mergeCell ref="J782:L782"/>
    <mergeCell ref="B775:G775"/>
    <mergeCell ref="H775:I775"/>
    <mergeCell ref="B776:G776"/>
    <mergeCell ref="H776:I776"/>
    <mergeCell ref="B777:G777"/>
    <mergeCell ref="H777:I777"/>
    <mergeCell ref="K801:L801"/>
    <mergeCell ref="K802:L802"/>
    <mergeCell ref="K803:L803"/>
    <mergeCell ref="G804:J804"/>
    <mergeCell ref="K804:L804"/>
    <mergeCell ref="G805:L805"/>
    <mergeCell ref="K795:L795"/>
    <mergeCell ref="K796:L796"/>
    <mergeCell ref="K797:L797"/>
    <mergeCell ref="K798:L798"/>
    <mergeCell ref="K799:L799"/>
    <mergeCell ref="K800:L800"/>
    <mergeCell ref="K788:L789"/>
    <mergeCell ref="K790:L790"/>
    <mergeCell ref="K791:L791"/>
    <mergeCell ref="K792:L792"/>
    <mergeCell ref="K793:L793"/>
    <mergeCell ref="K794:L794"/>
    <mergeCell ref="K819:L819"/>
    <mergeCell ref="K820:L820"/>
    <mergeCell ref="J821:L821"/>
    <mergeCell ref="B825:G826"/>
    <mergeCell ref="H825:I825"/>
    <mergeCell ref="J825:J826"/>
    <mergeCell ref="K825:K826"/>
    <mergeCell ref="L825:L826"/>
    <mergeCell ref="H826:I826"/>
    <mergeCell ref="G809:L809"/>
    <mergeCell ref="G812:L812"/>
    <mergeCell ref="J813:L813"/>
    <mergeCell ref="J814:L814"/>
    <mergeCell ref="J817:L817"/>
    <mergeCell ref="J818:L818"/>
    <mergeCell ref="B806:F806"/>
    <mergeCell ref="G806:L806"/>
    <mergeCell ref="B807:F807"/>
    <mergeCell ref="G807:L807"/>
    <mergeCell ref="B808:F808"/>
    <mergeCell ref="G808:L808"/>
    <mergeCell ref="B833:G833"/>
    <mergeCell ref="H833:I833"/>
    <mergeCell ref="B834:G834"/>
    <mergeCell ref="H834:I834"/>
    <mergeCell ref="B835:G835"/>
    <mergeCell ref="H835:I835"/>
    <mergeCell ref="B830:G830"/>
    <mergeCell ref="H830:I830"/>
    <mergeCell ref="B831:G831"/>
    <mergeCell ref="H831:I831"/>
    <mergeCell ref="B832:G832"/>
    <mergeCell ref="H832:I832"/>
    <mergeCell ref="B827:G827"/>
    <mergeCell ref="H827:I827"/>
    <mergeCell ref="B828:G828"/>
    <mergeCell ref="H828:I828"/>
    <mergeCell ref="B829:G829"/>
    <mergeCell ref="H829:I829"/>
    <mergeCell ref="K846:L847"/>
    <mergeCell ref="K848:L848"/>
    <mergeCell ref="K849:L849"/>
    <mergeCell ref="K850:L850"/>
    <mergeCell ref="K851:L851"/>
    <mergeCell ref="K852:L852"/>
    <mergeCell ref="B841:E842"/>
    <mergeCell ref="K841:L841"/>
    <mergeCell ref="K842:L842"/>
    <mergeCell ref="B843:E843"/>
    <mergeCell ref="F843:L843"/>
    <mergeCell ref="F845:J845"/>
    <mergeCell ref="B836:G836"/>
    <mergeCell ref="H836:I836"/>
    <mergeCell ref="B837:G837"/>
    <mergeCell ref="J837:L837"/>
    <mergeCell ref="B839:I839"/>
    <mergeCell ref="B840:I840"/>
    <mergeCell ref="J840:L840"/>
    <mergeCell ref="B864:F864"/>
    <mergeCell ref="G864:L864"/>
    <mergeCell ref="B865:F865"/>
    <mergeCell ref="G865:L865"/>
    <mergeCell ref="B866:F866"/>
    <mergeCell ref="G866:L866"/>
    <mergeCell ref="K859:L859"/>
    <mergeCell ref="K860:L860"/>
    <mergeCell ref="K861:L861"/>
    <mergeCell ref="G862:J862"/>
    <mergeCell ref="K862:L862"/>
    <mergeCell ref="G863:L863"/>
    <mergeCell ref="K853:L853"/>
    <mergeCell ref="K854:L854"/>
    <mergeCell ref="K855:L855"/>
    <mergeCell ref="K856:L856"/>
    <mergeCell ref="K857:L857"/>
    <mergeCell ref="K858:L858"/>
    <mergeCell ref="B885:G885"/>
    <mergeCell ref="H885:I885"/>
    <mergeCell ref="B886:G886"/>
    <mergeCell ref="H886:I886"/>
    <mergeCell ref="B887:G887"/>
    <mergeCell ref="H887:I887"/>
    <mergeCell ref="K877:L877"/>
    <mergeCell ref="K878:L878"/>
    <mergeCell ref="J879:L879"/>
    <mergeCell ref="B883:G884"/>
    <mergeCell ref="H883:I883"/>
    <mergeCell ref="J883:J884"/>
    <mergeCell ref="K883:K884"/>
    <mergeCell ref="L883:L884"/>
    <mergeCell ref="H884:I884"/>
    <mergeCell ref="G867:L867"/>
    <mergeCell ref="G870:L870"/>
    <mergeCell ref="J871:L871"/>
    <mergeCell ref="J872:L872"/>
    <mergeCell ref="J875:L875"/>
    <mergeCell ref="J876:L876"/>
    <mergeCell ref="B894:G894"/>
    <mergeCell ref="H894:I894"/>
    <mergeCell ref="B895:G895"/>
    <mergeCell ref="J895:L895"/>
    <mergeCell ref="B897:I897"/>
    <mergeCell ref="B898:I898"/>
    <mergeCell ref="J898:L898"/>
    <mergeCell ref="B891:G891"/>
    <mergeCell ref="H891:I891"/>
    <mergeCell ref="B892:G892"/>
    <mergeCell ref="H892:I892"/>
    <mergeCell ref="B893:G893"/>
    <mergeCell ref="H893:I893"/>
    <mergeCell ref="B888:G888"/>
    <mergeCell ref="H888:I888"/>
    <mergeCell ref="B889:G889"/>
    <mergeCell ref="H889:I889"/>
    <mergeCell ref="B890:G890"/>
    <mergeCell ref="H890:I890"/>
    <mergeCell ref="K911:L911"/>
    <mergeCell ref="K912:L912"/>
    <mergeCell ref="K913:L913"/>
    <mergeCell ref="K914:L914"/>
    <mergeCell ref="K915:L915"/>
    <mergeCell ref="K916:L916"/>
    <mergeCell ref="K904:L905"/>
    <mergeCell ref="K906:L906"/>
    <mergeCell ref="K907:L907"/>
    <mergeCell ref="K908:L908"/>
    <mergeCell ref="K909:L909"/>
    <mergeCell ref="K910:L910"/>
    <mergeCell ref="B899:E900"/>
    <mergeCell ref="K899:L899"/>
    <mergeCell ref="K900:L900"/>
    <mergeCell ref="B901:E901"/>
    <mergeCell ref="F901:L901"/>
    <mergeCell ref="F903:J903"/>
    <mergeCell ref="G925:L925"/>
    <mergeCell ref="G928:L928"/>
    <mergeCell ref="J929:L929"/>
    <mergeCell ref="J930:L930"/>
    <mergeCell ref="J933:L933"/>
    <mergeCell ref="J934:L934"/>
    <mergeCell ref="B922:F922"/>
    <mergeCell ref="G922:L922"/>
    <mergeCell ref="B923:F923"/>
    <mergeCell ref="G923:L923"/>
    <mergeCell ref="B924:F924"/>
    <mergeCell ref="G924:L924"/>
    <mergeCell ref="K917:L917"/>
    <mergeCell ref="K918:L918"/>
    <mergeCell ref="K919:L919"/>
    <mergeCell ref="G920:J920"/>
    <mergeCell ref="K920:L920"/>
    <mergeCell ref="G921:L921"/>
    <mergeCell ref="B946:G946"/>
    <mergeCell ref="H946:I946"/>
    <mergeCell ref="B947:G947"/>
    <mergeCell ref="H947:I947"/>
    <mergeCell ref="B948:G948"/>
    <mergeCell ref="H948:I948"/>
    <mergeCell ref="B943:G943"/>
    <mergeCell ref="H943:I943"/>
    <mergeCell ref="B944:G944"/>
    <mergeCell ref="H944:I944"/>
    <mergeCell ref="B945:G945"/>
    <mergeCell ref="H945:I945"/>
    <mergeCell ref="K935:L935"/>
    <mergeCell ref="K936:L936"/>
    <mergeCell ref="J937:L937"/>
    <mergeCell ref="B941:G942"/>
    <mergeCell ref="H941:I941"/>
    <mergeCell ref="J941:J942"/>
    <mergeCell ref="K941:K942"/>
    <mergeCell ref="L941:L942"/>
    <mergeCell ref="H942:I942"/>
    <mergeCell ref="B957:E958"/>
    <mergeCell ref="K957:L957"/>
    <mergeCell ref="K958:L958"/>
    <mergeCell ref="B959:E959"/>
    <mergeCell ref="F959:L959"/>
    <mergeCell ref="F961:J961"/>
    <mergeCell ref="B952:G952"/>
    <mergeCell ref="H952:I952"/>
    <mergeCell ref="B953:G953"/>
    <mergeCell ref="J953:L953"/>
    <mergeCell ref="B955:I955"/>
    <mergeCell ref="B956:I956"/>
    <mergeCell ref="J956:L956"/>
    <mergeCell ref="B949:G949"/>
    <mergeCell ref="H949:I949"/>
    <mergeCell ref="B950:G950"/>
    <mergeCell ref="H950:I950"/>
    <mergeCell ref="B951:G951"/>
    <mergeCell ref="H951:I951"/>
    <mergeCell ref="K975:L975"/>
    <mergeCell ref="K976:L976"/>
    <mergeCell ref="K977:L977"/>
    <mergeCell ref="G978:J978"/>
    <mergeCell ref="K978:L978"/>
    <mergeCell ref="G979:L979"/>
    <mergeCell ref="K969:L969"/>
    <mergeCell ref="K970:L970"/>
    <mergeCell ref="K971:L971"/>
    <mergeCell ref="K972:L972"/>
    <mergeCell ref="K973:L973"/>
    <mergeCell ref="K974:L974"/>
    <mergeCell ref="K962:L963"/>
    <mergeCell ref="K964:L964"/>
    <mergeCell ref="K965:L965"/>
    <mergeCell ref="K966:L966"/>
    <mergeCell ref="K967:L967"/>
    <mergeCell ref="K968:L968"/>
    <mergeCell ref="K993:L993"/>
    <mergeCell ref="K994:L994"/>
    <mergeCell ref="J995:L995"/>
    <mergeCell ref="B999:G1000"/>
    <mergeCell ref="H999:I999"/>
    <mergeCell ref="J999:J1000"/>
    <mergeCell ref="K999:K1000"/>
    <mergeCell ref="L999:L1000"/>
    <mergeCell ref="H1000:I1000"/>
    <mergeCell ref="G983:L983"/>
    <mergeCell ref="G986:L986"/>
    <mergeCell ref="J987:L987"/>
    <mergeCell ref="J988:L988"/>
    <mergeCell ref="J991:L991"/>
    <mergeCell ref="J992:L992"/>
    <mergeCell ref="B980:F980"/>
    <mergeCell ref="G980:L980"/>
    <mergeCell ref="B981:F981"/>
    <mergeCell ref="G981:L981"/>
    <mergeCell ref="B982:F982"/>
    <mergeCell ref="G982:L982"/>
    <mergeCell ref="B1007:G1007"/>
    <mergeCell ref="H1007:I1007"/>
    <mergeCell ref="B1008:G1008"/>
    <mergeCell ref="H1008:I1008"/>
    <mergeCell ref="B1009:G1009"/>
    <mergeCell ref="H1009:I1009"/>
    <mergeCell ref="B1004:G1004"/>
    <mergeCell ref="H1004:I1004"/>
    <mergeCell ref="B1005:G1005"/>
    <mergeCell ref="H1005:I1005"/>
    <mergeCell ref="B1006:G1006"/>
    <mergeCell ref="H1006:I1006"/>
    <mergeCell ref="B1001:G1001"/>
    <mergeCell ref="H1001:I1001"/>
    <mergeCell ref="B1002:G1002"/>
    <mergeCell ref="H1002:I1002"/>
    <mergeCell ref="B1003:G1003"/>
    <mergeCell ref="H1003:I1003"/>
    <mergeCell ref="K1020:L1021"/>
    <mergeCell ref="K1022:L1022"/>
    <mergeCell ref="K1023:L1023"/>
    <mergeCell ref="K1024:L1024"/>
    <mergeCell ref="K1025:L1025"/>
    <mergeCell ref="K1026:L1026"/>
    <mergeCell ref="B1015:E1016"/>
    <mergeCell ref="K1015:L1015"/>
    <mergeCell ref="K1016:L1016"/>
    <mergeCell ref="B1017:E1017"/>
    <mergeCell ref="F1017:L1017"/>
    <mergeCell ref="F1019:J1019"/>
    <mergeCell ref="B1010:G1010"/>
    <mergeCell ref="H1010:I1010"/>
    <mergeCell ref="B1011:G1011"/>
    <mergeCell ref="J1011:L1011"/>
    <mergeCell ref="B1013:I1013"/>
    <mergeCell ref="B1014:I1014"/>
    <mergeCell ref="J1014:L1014"/>
    <mergeCell ref="B1038:F1038"/>
    <mergeCell ref="G1038:L1038"/>
    <mergeCell ref="B1039:F1039"/>
    <mergeCell ref="G1039:L1039"/>
    <mergeCell ref="B1040:F1040"/>
    <mergeCell ref="G1040:L1040"/>
    <mergeCell ref="K1033:L1033"/>
    <mergeCell ref="K1034:L1034"/>
    <mergeCell ref="K1035:L1035"/>
    <mergeCell ref="G1036:J1036"/>
    <mergeCell ref="K1036:L1036"/>
    <mergeCell ref="G1037:L1037"/>
    <mergeCell ref="K1027:L1027"/>
    <mergeCell ref="K1028:L1028"/>
    <mergeCell ref="K1029:L1029"/>
    <mergeCell ref="K1030:L1030"/>
    <mergeCell ref="K1031:L1031"/>
    <mergeCell ref="K1032:L1032"/>
    <mergeCell ref="B1059:G1059"/>
    <mergeCell ref="H1059:I1059"/>
    <mergeCell ref="B1060:G1060"/>
    <mergeCell ref="H1060:I1060"/>
    <mergeCell ref="B1061:G1061"/>
    <mergeCell ref="H1061:I1061"/>
    <mergeCell ref="K1051:L1051"/>
    <mergeCell ref="K1052:L1052"/>
    <mergeCell ref="J1053:L1053"/>
    <mergeCell ref="B1057:G1058"/>
    <mergeCell ref="H1057:I1057"/>
    <mergeCell ref="J1057:J1058"/>
    <mergeCell ref="K1057:K1058"/>
    <mergeCell ref="L1057:L1058"/>
    <mergeCell ref="H1058:I1058"/>
    <mergeCell ref="G1041:L1041"/>
    <mergeCell ref="G1044:L1044"/>
    <mergeCell ref="J1045:L1045"/>
    <mergeCell ref="J1046:L1046"/>
    <mergeCell ref="J1049:L1049"/>
    <mergeCell ref="J1050:L1050"/>
    <mergeCell ref="B1068:G1068"/>
    <mergeCell ref="H1068:I1068"/>
    <mergeCell ref="B1069:G1069"/>
    <mergeCell ref="J1069:L1069"/>
    <mergeCell ref="B1071:I1071"/>
    <mergeCell ref="B1072:I1072"/>
    <mergeCell ref="J1072:L1072"/>
    <mergeCell ref="B1065:G1065"/>
    <mergeCell ref="H1065:I1065"/>
    <mergeCell ref="B1066:G1066"/>
    <mergeCell ref="H1066:I1066"/>
    <mergeCell ref="B1067:G1067"/>
    <mergeCell ref="H1067:I1067"/>
    <mergeCell ref="B1062:G1062"/>
    <mergeCell ref="H1062:I1062"/>
    <mergeCell ref="B1063:G1063"/>
    <mergeCell ref="H1063:I1063"/>
    <mergeCell ref="B1064:G1064"/>
    <mergeCell ref="H1064:I1064"/>
    <mergeCell ref="K1085:L1085"/>
    <mergeCell ref="K1086:L1086"/>
    <mergeCell ref="K1087:L1087"/>
    <mergeCell ref="K1088:L1088"/>
    <mergeCell ref="K1089:L1089"/>
    <mergeCell ref="K1090:L1090"/>
    <mergeCell ref="K1078:L1079"/>
    <mergeCell ref="K1080:L1080"/>
    <mergeCell ref="K1081:L1081"/>
    <mergeCell ref="K1082:L1082"/>
    <mergeCell ref="K1083:L1083"/>
    <mergeCell ref="K1084:L1084"/>
    <mergeCell ref="B1073:E1074"/>
    <mergeCell ref="K1073:L1073"/>
    <mergeCell ref="K1074:L1074"/>
    <mergeCell ref="B1075:E1075"/>
    <mergeCell ref="F1075:L1075"/>
    <mergeCell ref="F1077:J1077"/>
    <mergeCell ref="G1099:L1099"/>
    <mergeCell ref="G1102:L1102"/>
    <mergeCell ref="J1103:L1103"/>
    <mergeCell ref="J1104:L1104"/>
    <mergeCell ref="J1107:L1107"/>
    <mergeCell ref="J1108:L1108"/>
    <mergeCell ref="B1096:F1096"/>
    <mergeCell ref="G1096:L1096"/>
    <mergeCell ref="B1097:F1097"/>
    <mergeCell ref="G1097:L1097"/>
    <mergeCell ref="B1098:F1098"/>
    <mergeCell ref="G1098:L1098"/>
    <mergeCell ref="K1091:L1091"/>
    <mergeCell ref="K1092:L1092"/>
    <mergeCell ref="K1093:L1093"/>
    <mergeCell ref="G1094:J1094"/>
    <mergeCell ref="K1094:L1094"/>
    <mergeCell ref="G1095:L1095"/>
    <mergeCell ref="B1120:G1120"/>
    <mergeCell ref="H1120:I1120"/>
    <mergeCell ref="B1121:G1121"/>
    <mergeCell ref="H1121:I1121"/>
    <mergeCell ref="B1122:G1122"/>
    <mergeCell ref="H1122:I1122"/>
    <mergeCell ref="B1117:G1117"/>
    <mergeCell ref="H1117:I1117"/>
    <mergeCell ref="B1118:G1118"/>
    <mergeCell ref="H1118:I1118"/>
    <mergeCell ref="B1119:G1119"/>
    <mergeCell ref="H1119:I1119"/>
    <mergeCell ref="K1109:L1109"/>
    <mergeCell ref="K1110:L1110"/>
    <mergeCell ref="J1111:L1111"/>
    <mergeCell ref="B1115:G1116"/>
    <mergeCell ref="H1115:I1115"/>
    <mergeCell ref="J1115:J1116"/>
    <mergeCell ref="K1115:K1116"/>
    <mergeCell ref="L1115:L1116"/>
    <mergeCell ref="H1116:I1116"/>
    <mergeCell ref="B1131:E1132"/>
    <mergeCell ref="K1131:L1131"/>
    <mergeCell ref="K1132:L1132"/>
    <mergeCell ref="B1133:E1133"/>
    <mergeCell ref="F1133:L1133"/>
    <mergeCell ref="F1135:J1135"/>
    <mergeCell ref="B1126:G1126"/>
    <mergeCell ref="H1126:I1126"/>
    <mergeCell ref="B1127:G1127"/>
    <mergeCell ref="J1127:L1127"/>
    <mergeCell ref="B1129:I1129"/>
    <mergeCell ref="B1130:I1130"/>
    <mergeCell ref="J1130:L1130"/>
    <mergeCell ref="B1123:G1123"/>
    <mergeCell ref="H1123:I1123"/>
    <mergeCell ref="B1124:G1124"/>
    <mergeCell ref="H1124:I1124"/>
    <mergeCell ref="B1125:G1125"/>
    <mergeCell ref="H1125:I1125"/>
    <mergeCell ref="K1149:L1149"/>
    <mergeCell ref="K1150:L1150"/>
    <mergeCell ref="K1151:L1151"/>
    <mergeCell ref="G1152:J1152"/>
    <mergeCell ref="K1152:L1152"/>
    <mergeCell ref="G1153:L1153"/>
    <mergeCell ref="K1143:L1143"/>
    <mergeCell ref="K1144:L1144"/>
    <mergeCell ref="K1145:L1145"/>
    <mergeCell ref="K1146:L1146"/>
    <mergeCell ref="K1147:L1147"/>
    <mergeCell ref="K1148:L1148"/>
    <mergeCell ref="K1136:L1137"/>
    <mergeCell ref="K1138:L1138"/>
    <mergeCell ref="K1139:L1139"/>
    <mergeCell ref="K1140:L1140"/>
    <mergeCell ref="K1141:L1141"/>
    <mergeCell ref="K1142:L1142"/>
    <mergeCell ref="K1167:L1167"/>
    <mergeCell ref="K1168:L1168"/>
    <mergeCell ref="J1169:L1169"/>
    <mergeCell ref="B1173:G1174"/>
    <mergeCell ref="H1173:I1173"/>
    <mergeCell ref="J1173:J1174"/>
    <mergeCell ref="K1173:K1174"/>
    <mergeCell ref="L1173:L1174"/>
    <mergeCell ref="H1174:I1174"/>
    <mergeCell ref="G1157:L1157"/>
    <mergeCell ref="G1160:L1160"/>
    <mergeCell ref="J1161:L1161"/>
    <mergeCell ref="J1162:L1162"/>
    <mergeCell ref="J1165:L1165"/>
    <mergeCell ref="J1166:L1166"/>
    <mergeCell ref="B1154:F1154"/>
    <mergeCell ref="G1154:L1154"/>
    <mergeCell ref="B1155:F1155"/>
    <mergeCell ref="G1155:L1155"/>
    <mergeCell ref="B1156:F1156"/>
    <mergeCell ref="G1156:L1156"/>
    <mergeCell ref="B1181:G1181"/>
    <mergeCell ref="H1181:I1181"/>
    <mergeCell ref="B1182:G1182"/>
    <mergeCell ref="H1182:I1182"/>
    <mergeCell ref="B1183:G1183"/>
    <mergeCell ref="H1183:I1183"/>
    <mergeCell ref="B1178:G1178"/>
    <mergeCell ref="H1178:I1178"/>
    <mergeCell ref="B1179:G1179"/>
    <mergeCell ref="H1179:I1179"/>
    <mergeCell ref="B1180:G1180"/>
    <mergeCell ref="H1180:I1180"/>
    <mergeCell ref="B1175:G1175"/>
    <mergeCell ref="H1175:I1175"/>
    <mergeCell ref="B1176:G1176"/>
    <mergeCell ref="H1176:I1176"/>
    <mergeCell ref="B1177:G1177"/>
    <mergeCell ref="H1177:I1177"/>
    <mergeCell ref="K1194:L1195"/>
    <mergeCell ref="K1196:L1196"/>
    <mergeCell ref="K1197:L1197"/>
    <mergeCell ref="K1198:L1198"/>
    <mergeCell ref="K1199:L1199"/>
    <mergeCell ref="K1200:L1200"/>
    <mergeCell ref="B1189:E1190"/>
    <mergeCell ref="K1189:L1189"/>
    <mergeCell ref="K1190:L1190"/>
    <mergeCell ref="B1191:E1191"/>
    <mergeCell ref="F1191:L1191"/>
    <mergeCell ref="F1193:J1193"/>
    <mergeCell ref="B1184:G1184"/>
    <mergeCell ref="H1184:I1184"/>
    <mergeCell ref="B1185:G1185"/>
    <mergeCell ref="J1185:L1185"/>
    <mergeCell ref="B1187:I1187"/>
    <mergeCell ref="B1188:I1188"/>
    <mergeCell ref="J1188:L1188"/>
    <mergeCell ref="B1212:F1212"/>
    <mergeCell ref="G1212:L1212"/>
    <mergeCell ref="B1213:F1213"/>
    <mergeCell ref="G1213:L1213"/>
    <mergeCell ref="B1214:F1214"/>
    <mergeCell ref="G1214:L1214"/>
    <mergeCell ref="K1207:L1207"/>
    <mergeCell ref="K1208:L1208"/>
    <mergeCell ref="K1209:L1209"/>
    <mergeCell ref="G1210:J1210"/>
    <mergeCell ref="K1210:L1210"/>
    <mergeCell ref="G1211:L1211"/>
    <mergeCell ref="K1201:L1201"/>
    <mergeCell ref="K1202:L1202"/>
    <mergeCell ref="K1203:L1203"/>
    <mergeCell ref="K1204:L1204"/>
    <mergeCell ref="K1205:L1205"/>
    <mergeCell ref="K1206:L1206"/>
    <mergeCell ref="B1233:G1233"/>
    <mergeCell ref="H1233:I1233"/>
    <mergeCell ref="B1234:G1234"/>
    <mergeCell ref="H1234:I1234"/>
    <mergeCell ref="B1235:G1235"/>
    <mergeCell ref="H1235:I1235"/>
    <mergeCell ref="K1225:L1225"/>
    <mergeCell ref="K1226:L1226"/>
    <mergeCell ref="J1227:L1227"/>
    <mergeCell ref="B1231:G1232"/>
    <mergeCell ref="H1231:I1231"/>
    <mergeCell ref="J1231:J1232"/>
    <mergeCell ref="K1231:K1232"/>
    <mergeCell ref="L1231:L1232"/>
    <mergeCell ref="H1232:I1232"/>
    <mergeCell ref="G1215:L1215"/>
    <mergeCell ref="G1218:L1218"/>
    <mergeCell ref="J1219:L1219"/>
    <mergeCell ref="J1220:L1220"/>
    <mergeCell ref="J1223:L1223"/>
    <mergeCell ref="J1224:L1224"/>
    <mergeCell ref="B1242:G1242"/>
    <mergeCell ref="H1242:I1242"/>
    <mergeCell ref="B1243:G1243"/>
    <mergeCell ref="J1243:L1243"/>
    <mergeCell ref="B1245:I1245"/>
    <mergeCell ref="B1246:I1246"/>
    <mergeCell ref="J1246:L1246"/>
    <mergeCell ref="B1239:G1239"/>
    <mergeCell ref="H1239:I1239"/>
    <mergeCell ref="B1240:G1240"/>
    <mergeCell ref="H1240:I1240"/>
    <mergeCell ref="B1241:G1241"/>
    <mergeCell ref="H1241:I1241"/>
    <mergeCell ref="B1236:G1236"/>
    <mergeCell ref="H1236:I1236"/>
    <mergeCell ref="B1237:G1237"/>
    <mergeCell ref="H1237:I1237"/>
    <mergeCell ref="B1238:G1238"/>
    <mergeCell ref="H1238:I1238"/>
    <mergeCell ref="K1259:L1259"/>
    <mergeCell ref="K1260:L1260"/>
    <mergeCell ref="K1261:L1261"/>
    <mergeCell ref="K1262:L1262"/>
    <mergeCell ref="K1263:L1263"/>
    <mergeCell ref="K1264:L1264"/>
    <mergeCell ref="K1252:L1253"/>
    <mergeCell ref="K1254:L1254"/>
    <mergeCell ref="K1255:L1255"/>
    <mergeCell ref="K1256:L1256"/>
    <mergeCell ref="K1257:L1257"/>
    <mergeCell ref="K1258:L1258"/>
    <mergeCell ref="B1247:E1248"/>
    <mergeCell ref="K1247:L1247"/>
    <mergeCell ref="K1248:L1248"/>
    <mergeCell ref="B1249:E1249"/>
    <mergeCell ref="F1249:L1249"/>
    <mergeCell ref="F1251:J1251"/>
    <mergeCell ref="G1273:L1273"/>
    <mergeCell ref="G1276:L1276"/>
    <mergeCell ref="J1277:L1277"/>
    <mergeCell ref="J1278:L1278"/>
    <mergeCell ref="J1281:L1281"/>
    <mergeCell ref="J1282:L1282"/>
    <mergeCell ref="B1270:F1270"/>
    <mergeCell ref="G1270:L1270"/>
    <mergeCell ref="B1271:F1271"/>
    <mergeCell ref="G1271:L1271"/>
    <mergeCell ref="B1272:F1272"/>
    <mergeCell ref="G1272:L1272"/>
    <mergeCell ref="K1265:L1265"/>
    <mergeCell ref="K1266:L1266"/>
    <mergeCell ref="K1267:L1267"/>
    <mergeCell ref="G1268:J1268"/>
    <mergeCell ref="K1268:L1268"/>
    <mergeCell ref="G1269:L1269"/>
    <mergeCell ref="B1294:G1294"/>
    <mergeCell ref="H1294:I1294"/>
    <mergeCell ref="B1295:G1295"/>
    <mergeCell ref="H1295:I1295"/>
    <mergeCell ref="B1296:G1296"/>
    <mergeCell ref="H1296:I1296"/>
    <mergeCell ref="B1291:G1291"/>
    <mergeCell ref="H1291:I1291"/>
    <mergeCell ref="B1292:G1292"/>
    <mergeCell ref="H1292:I1292"/>
    <mergeCell ref="B1293:G1293"/>
    <mergeCell ref="H1293:I1293"/>
    <mergeCell ref="K1283:L1283"/>
    <mergeCell ref="K1284:L1284"/>
    <mergeCell ref="J1285:L1285"/>
    <mergeCell ref="B1289:G1290"/>
    <mergeCell ref="H1289:I1289"/>
    <mergeCell ref="J1289:J1290"/>
    <mergeCell ref="K1289:K1290"/>
    <mergeCell ref="L1289:L1290"/>
    <mergeCell ref="H1290:I1290"/>
    <mergeCell ref="B1305:E1306"/>
    <mergeCell ref="K1305:L1305"/>
    <mergeCell ref="K1306:L1306"/>
    <mergeCell ref="B1307:E1307"/>
    <mergeCell ref="F1307:L1307"/>
    <mergeCell ref="F1309:J1309"/>
    <mergeCell ref="B1300:G1300"/>
    <mergeCell ref="H1300:I1300"/>
    <mergeCell ref="B1301:G1301"/>
    <mergeCell ref="J1301:L1301"/>
    <mergeCell ref="B1303:I1303"/>
    <mergeCell ref="B1304:I1304"/>
    <mergeCell ref="J1304:L1304"/>
    <mergeCell ref="B1297:G1297"/>
    <mergeCell ref="H1297:I1297"/>
    <mergeCell ref="B1298:G1298"/>
    <mergeCell ref="H1298:I1298"/>
    <mergeCell ref="B1299:G1299"/>
    <mergeCell ref="H1299:I1299"/>
    <mergeCell ref="K1323:L1323"/>
    <mergeCell ref="K1324:L1324"/>
    <mergeCell ref="K1325:L1325"/>
    <mergeCell ref="G1326:J1326"/>
    <mergeCell ref="K1326:L1326"/>
    <mergeCell ref="G1327:L1327"/>
    <mergeCell ref="K1317:L1317"/>
    <mergeCell ref="K1318:L1318"/>
    <mergeCell ref="K1319:L1319"/>
    <mergeCell ref="K1320:L1320"/>
    <mergeCell ref="K1321:L1321"/>
    <mergeCell ref="K1322:L1322"/>
    <mergeCell ref="K1310:L1311"/>
    <mergeCell ref="K1312:L1312"/>
    <mergeCell ref="K1313:L1313"/>
    <mergeCell ref="K1314:L1314"/>
    <mergeCell ref="K1315:L1315"/>
    <mergeCell ref="K1316:L1316"/>
    <mergeCell ref="K1341:L1341"/>
    <mergeCell ref="K1342:L1342"/>
    <mergeCell ref="J1343:L1343"/>
    <mergeCell ref="B1347:G1348"/>
    <mergeCell ref="H1347:I1347"/>
    <mergeCell ref="J1347:J1348"/>
    <mergeCell ref="K1347:K1348"/>
    <mergeCell ref="L1347:L1348"/>
    <mergeCell ref="H1348:I1348"/>
    <mergeCell ref="G1331:L1331"/>
    <mergeCell ref="G1334:L1334"/>
    <mergeCell ref="J1335:L1335"/>
    <mergeCell ref="J1336:L1336"/>
    <mergeCell ref="J1339:L1339"/>
    <mergeCell ref="J1340:L1340"/>
    <mergeCell ref="B1328:F1328"/>
    <mergeCell ref="G1328:L1328"/>
    <mergeCell ref="B1329:F1329"/>
    <mergeCell ref="G1329:L1329"/>
    <mergeCell ref="B1330:F1330"/>
    <mergeCell ref="G1330:L1330"/>
    <mergeCell ref="B1355:G1355"/>
    <mergeCell ref="H1355:I1355"/>
    <mergeCell ref="B1356:G1356"/>
    <mergeCell ref="H1356:I1356"/>
    <mergeCell ref="B1357:G1357"/>
    <mergeCell ref="H1357:I1357"/>
    <mergeCell ref="B1352:G1352"/>
    <mergeCell ref="H1352:I1352"/>
    <mergeCell ref="B1353:G1353"/>
    <mergeCell ref="H1353:I1353"/>
    <mergeCell ref="B1354:G1354"/>
    <mergeCell ref="H1354:I1354"/>
    <mergeCell ref="B1349:G1349"/>
    <mergeCell ref="H1349:I1349"/>
    <mergeCell ref="B1350:G1350"/>
    <mergeCell ref="H1350:I1350"/>
    <mergeCell ref="B1351:G1351"/>
    <mergeCell ref="H1351:I1351"/>
    <mergeCell ref="K1368:L1369"/>
    <mergeCell ref="K1370:L1370"/>
    <mergeCell ref="K1371:L1371"/>
    <mergeCell ref="K1372:L1372"/>
    <mergeCell ref="K1373:L1373"/>
    <mergeCell ref="K1374:L1374"/>
    <mergeCell ref="B1363:E1364"/>
    <mergeCell ref="K1363:L1363"/>
    <mergeCell ref="K1364:L1364"/>
    <mergeCell ref="B1365:E1365"/>
    <mergeCell ref="F1365:L1365"/>
    <mergeCell ref="F1367:J1367"/>
    <mergeCell ref="B1358:G1358"/>
    <mergeCell ref="H1358:I1358"/>
    <mergeCell ref="B1359:G1359"/>
    <mergeCell ref="J1359:L1359"/>
    <mergeCell ref="B1361:I1361"/>
    <mergeCell ref="B1362:I1362"/>
    <mergeCell ref="J1362:L1362"/>
    <mergeCell ref="B1386:F1386"/>
    <mergeCell ref="G1386:L1386"/>
    <mergeCell ref="B1387:F1387"/>
    <mergeCell ref="G1387:L1387"/>
    <mergeCell ref="B1388:F1388"/>
    <mergeCell ref="G1388:L1388"/>
    <mergeCell ref="K1381:L1381"/>
    <mergeCell ref="K1382:L1382"/>
    <mergeCell ref="K1383:L1383"/>
    <mergeCell ref="G1384:J1384"/>
    <mergeCell ref="K1384:L1384"/>
    <mergeCell ref="G1385:L1385"/>
    <mergeCell ref="K1375:L1375"/>
    <mergeCell ref="K1376:L1376"/>
    <mergeCell ref="K1377:L1377"/>
    <mergeCell ref="K1378:L1378"/>
    <mergeCell ref="K1379:L1379"/>
    <mergeCell ref="K1380:L1380"/>
    <mergeCell ref="B1407:G1407"/>
    <mergeCell ref="H1407:I1407"/>
    <mergeCell ref="B1408:G1408"/>
    <mergeCell ref="H1408:I1408"/>
    <mergeCell ref="B1409:G1409"/>
    <mergeCell ref="H1409:I1409"/>
    <mergeCell ref="K1399:L1399"/>
    <mergeCell ref="K1400:L1400"/>
    <mergeCell ref="J1401:L1401"/>
    <mergeCell ref="B1405:G1406"/>
    <mergeCell ref="H1405:I1405"/>
    <mergeCell ref="J1405:J1406"/>
    <mergeCell ref="K1405:K1406"/>
    <mergeCell ref="L1405:L1406"/>
    <mergeCell ref="H1406:I1406"/>
    <mergeCell ref="G1389:L1389"/>
    <mergeCell ref="G1392:L1392"/>
    <mergeCell ref="J1393:L1393"/>
    <mergeCell ref="J1394:L1394"/>
    <mergeCell ref="J1397:L1397"/>
    <mergeCell ref="J1398:L1398"/>
    <mergeCell ref="B1416:G1416"/>
    <mergeCell ref="H1416:I1416"/>
    <mergeCell ref="B1417:G1417"/>
    <mergeCell ref="J1417:L1417"/>
    <mergeCell ref="B1419:I1419"/>
    <mergeCell ref="B1420:I1420"/>
    <mergeCell ref="J1420:L1420"/>
    <mergeCell ref="B1413:G1413"/>
    <mergeCell ref="H1413:I1413"/>
    <mergeCell ref="B1414:G1414"/>
    <mergeCell ref="H1414:I1414"/>
    <mergeCell ref="B1415:G1415"/>
    <mergeCell ref="H1415:I1415"/>
    <mergeCell ref="B1410:G1410"/>
    <mergeCell ref="H1410:I1410"/>
    <mergeCell ref="B1411:G1411"/>
    <mergeCell ref="H1411:I1411"/>
    <mergeCell ref="B1412:G1412"/>
    <mergeCell ref="H1412:I1412"/>
  </mergeCells>
  <dataValidations count="1">
    <dataValidation type="list" allowBlank="1" showInputMessage="1" showErrorMessage="1" sqref="B49:B50 IX49:IX50 ST49:ST50 ACP49:ACP50 AML49:AML50 AWH49:AWH50 BGD49:BGD50 BPZ49:BPZ50 BZV49:BZV50 CJR49:CJR50 CTN49:CTN50 DDJ49:DDJ50 DNF49:DNF50 DXB49:DXB50 EGX49:EGX50 EQT49:EQT50 FAP49:FAP50 FKL49:FKL50 FUH49:FUH50 GED49:GED50 GNZ49:GNZ50 GXV49:GXV50 HHR49:HHR50 HRN49:HRN50 IBJ49:IBJ50 ILF49:ILF50 IVB49:IVB50 JEX49:JEX50 JOT49:JOT50 JYP49:JYP50 KIL49:KIL50 KSH49:KSH50 LCD49:LCD50 LLZ49:LLZ50 LVV49:LVV50 MFR49:MFR50 MPN49:MPN50 MZJ49:MZJ50 NJF49:NJF50 NTB49:NTB50 OCX49:OCX50 OMT49:OMT50 OWP49:OWP50 PGL49:PGL50 PQH49:PQH50 QAD49:QAD50 QJZ49:QJZ50 QTV49:QTV50 RDR49:RDR50 RNN49:RNN50 RXJ49:RXJ50 SHF49:SHF50 SRB49:SRB50 TAX49:TAX50 TKT49:TKT50 TUP49:TUP50 UEL49:UEL50 UOH49:UOH50 UYD49:UYD50 VHZ49:VHZ50 VRV49:VRV50 WBR49:WBR50 WLN49:WLN50 WVJ49:WVJ50 B65585:B65586 IX65585:IX65586 ST65585:ST65586 ACP65585:ACP65586 AML65585:AML65586 AWH65585:AWH65586 BGD65585:BGD65586 BPZ65585:BPZ65586 BZV65585:BZV65586 CJR65585:CJR65586 CTN65585:CTN65586 DDJ65585:DDJ65586 DNF65585:DNF65586 DXB65585:DXB65586 EGX65585:EGX65586 EQT65585:EQT65586 FAP65585:FAP65586 FKL65585:FKL65586 FUH65585:FUH65586 GED65585:GED65586 GNZ65585:GNZ65586 GXV65585:GXV65586 HHR65585:HHR65586 HRN65585:HRN65586 IBJ65585:IBJ65586 ILF65585:ILF65586 IVB65585:IVB65586 JEX65585:JEX65586 JOT65585:JOT65586 JYP65585:JYP65586 KIL65585:KIL65586 KSH65585:KSH65586 LCD65585:LCD65586 LLZ65585:LLZ65586 LVV65585:LVV65586 MFR65585:MFR65586 MPN65585:MPN65586 MZJ65585:MZJ65586 NJF65585:NJF65586 NTB65585:NTB65586 OCX65585:OCX65586 OMT65585:OMT65586 OWP65585:OWP65586 PGL65585:PGL65586 PQH65585:PQH65586 QAD65585:QAD65586 QJZ65585:QJZ65586 QTV65585:QTV65586 RDR65585:RDR65586 RNN65585:RNN65586 RXJ65585:RXJ65586 SHF65585:SHF65586 SRB65585:SRB65586 TAX65585:TAX65586 TKT65585:TKT65586 TUP65585:TUP65586 UEL65585:UEL65586 UOH65585:UOH65586 UYD65585:UYD65586 VHZ65585:VHZ65586 VRV65585:VRV65586 WBR65585:WBR65586 WLN65585:WLN65586 WVJ65585:WVJ65586 B131121:B131122 IX131121:IX131122 ST131121:ST131122 ACP131121:ACP131122 AML131121:AML131122 AWH131121:AWH131122 BGD131121:BGD131122 BPZ131121:BPZ131122 BZV131121:BZV131122 CJR131121:CJR131122 CTN131121:CTN131122 DDJ131121:DDJ131122 DNF131121:DNF131122 DXB131121:DXB131122 EGX131121:EGX131122 EQT131121:EQT131122 FAP131121:FAP131122 FKL131121:FKL131122 FUH131121:FUH131122 GED131121:GED131122 GNZ131121:GNZ131122 GXV131121:GXV131122 HHR131121:HHR131122 HRN131121:HRN131122 IBJ131121:IBJ131122 ILF131121:ILF131122 IVB131121:IVB131122 JEX131121:JEX131122 JOT131121:JOT131122 JYP131121:JYP131122 KIL131121:KIL131122 KSH131121:KSH131122 LCD131121:LCD131122 LLZ131121:LLZ131122 LVV131121:LVV131122 MFR131121:MFR131122 MPN131121:MPN131122 MZJ131121:MZJ131122 NJF131121:NJF131122 NTB131121:NTB131122 OCX131121:OCX131122 OMT131121:OMT131122 OWP131121:OWP131122 PGL131121:PGL131122 PQH131121:PQH131122 QAD131121:QAD131122 QJZ131121:QJZ131122 QTV131121:QTV131122 RDR131121:RDR131122 RNN131121:RNN131122 RXJ131121:RXJ131122 SHF131121:SHF131122 SRB131121:SRB131122 TAX131121:TAX131122 TKT131121:TKT131122 TUP131121:TUP131122 UEL131121:UEL131122 UOH131121:UOH131122 UYD131121:UYD131122 VHZ131121:VHZ131122 VRV131121:VRV131122 WBR131121:WBR131122 WLN131121:WLN131122 WVJ131121:WVJ131122 B196657:B196658 IX196657:IX196658 ST196657:ST196658 ACP196657:ACP196658 AML196657:AML196658 AWH196657:AWH196658 BGD196657:BGD196658 BPZ196657:BPZ196658 BZV196657:BZV196658 CJR196657:CJR196658 CTN196657:CTN196658 DDJ196657:DDJ196658 DNF196657:DNF196658 DXB196657:DXB196658 EGX196657:EGX196658 EQT196657:EQT196658 FAP196657:FAP196658 FKL196657:FKL196658 FUH196657:FUH196658 GED196657:GED196658 GNZ196657:GNZ196658 GXV196657:GXV196658 HHR196657:HHR196658 HRN196657:HRN196658 IBJ196657:IBJ196658 ILF196657:ILF196658 IVB196657:IVB196658 JEX196657:JEX196658 JOT196657:JOT196658 JYP196657:JYP196658 KIL196657:KIL196658 KSH196657:KSH196658 LCD196657:LCD196658 LLZ196657:LLZ196658 LVV196657:LVV196658 MFR196657:MFR196658 MPN196657:MPN196658 MZJ196657:MZJ196658 NJF196657:NJF196658 NTB196657:NTB196658 OCX196657:OCX196658 OMT196657:OMT196658 OWP196657:OWP196658 PGL196657:PGL196658 PQH196657:PQH196658 QAD196657:QAD196658 QJZ196657:QJZ196658 QTV196657:QTV196658 RDR196657:RDR196658 RNN196657:RNN196658 RXJ196657:RXJ196658 SHF196657:SHF196658 SRB196657:SRB196658 TAX196657:TAX196658 TKT196657:TKT196658 TUP196657:TUP196658 UEL196657:UEL196658 UOH196657:UOH196658 UYD196657:UYD196658 VHZ196657:VHZ196658 VRV196657:VRV196658 WBR196657:WBR196658 WLN196657:WLN196658 WVJ196657:WVJ196658 B262193:B262194 IX262193:IX262194 ST262193:ST262194 ACP262193:ACP262194 AML262193:AML262194 AWH262193:AWH262194 BGD262193:BGD262194 BPZ262193:BPZ262194 BZV262193:BZV262194 CJR262193:CJR262194 CTN262193:CTN262194 DDJ262193:DDJ262194 DNF262193:DNF262194 DXB262193:DXB262194 EGX262193:EGX262194 EQT262193:EQT262194 FAP262193:FAP262194 FKL262193:FKL262194 FUH262193:FUH262194 GED262193:GED262194 GNZ262193:GNZ262194 GXV262193:GXV262194 HHR262193:HHR262194 HRN262193:HRN262194 IBJ262193:IBJ262194 ILF262193:ILF262194 IVB262193:IVB262194 JEX262193:JEX262194 JOT262193:JOT262194 JYP262193:JYP262194 KIL262193:KIL262194 KSH262193:KSH262194 LCD262193:LCD262194 LLZ262193:LLZ262194 LVV262193:LVV262194 MFR262193:MFR262194 MPN262193:MPN262194 MZJ262193:MZJ262194 NJF262193:NJF262194 NTB262193:NTB262194 OCX262193:OCX262194 OMT262193:OMT262194 OWP262193:OWP262194 PGL262193:PGL262194 PQH262193:PQH262194 QAD262193:QAD262194 QJZ262193:QJZ262194 QTV262193:QTV262194 RDR262193:RDR262194 RNN262193:RNN262194 RXJ262193:RXJ262194 SHF262193:SHF262194 SRB262193:SRB262194 TAX262193:TAX262194 TKT262193:TKT262194 TUP262193:TUP262194 UEL262193:UEL262194 UOH262193:UOH262194 UYD262193:UYD262194 VHZ262193:VHZ262194 VRV262193:VRV262194 WBR262193:WBR262194 WLN262193:WLN262194 WVJ262193:WVJ262194 B327729:B327730 IX327729:IX327730 ST327729:ST327730 ACP327729:ACP327730 AML327729:AML327730 AWH327729:AWH327730 BGD327729:BGD327730 BPZ327729:BPZ327730 BZV327729:BZV327730 CJR327729:CJR327730 CTN327729:CTN327730 DDJ327729:DDJ327730 DNF327729:DNF327730 DXB327729:DXB327730 EGX327729:EGX327730 EQT327729:EQT327730 FAP327729:FAP327730 FKL327729:FKL327730 FUH327729:FUH327730 GED327729:GED327730 GNZ327729:GNZ327730 GXV327729:GXV327730 HHR327729:HHR327730 HRN327729:HRN327730 IBJ327729:IBJ327730 ILF327729:ILF327730 IVB327729:IVB327730 JEX327729:JEX327730 JOT327729:JOT327730 JYP327729:JYP327730 KIL327729:KIL327730 KSH327729:KSH327730 LCD327729:LCD327730 LLZ327729:LLZ327730 LVV327729:LVV327730 MFR327729:MFR327730 MPN327729:MPN327730 MZJ327729:MZJ327730 NJF327729:NJF327730 NTB327729:NTB327730 OCX327729:OCX327730 OMT327729:OMT327730 OWP327729:OWP327730 PGL327729:PGL327730 PQH327729:PQH327730 QAD327729:QAD327730 QJZ327729:QJZ327730 QTV327729:QTV327730 RDR327729:RDR327730 RNN327729:RNN327730 RXJ327729:RXJ327730 SHF327729:SHF327730 SRB327729:SRB327730 TAX327729:TAX327730 TKT327729:TKT327730 TUP327729:TUP327730 UEL327729:UEL327730 UOH327729:UOH327730 UYD327729:UYD327730 VHZ327729:VHZ327730 VRV327729:VRV327730 WBR327729:WBR327730 WLN327729:WLN327730 WVJ327729:WVJ327730 B393265:B393266 IX393265:IX393266 ST393265:ST393266 ACP393265:ACP393266 AML393265:AML393266 AWH393265:AWH393266 BGD393265:BGD393266 BPZ393265:BPZ393266 BZV393265:BZV393266 CJR393265:CJR393266 CTN393265:CTN393266 DDJ393265:DDJ393266 DNF393265:DNF393266 DXB393265:DXB393266 EGX393265:EGX393266 EQT393265:EQT393266 FAP393265:FAP393266 FKL393265:FKL393266 FUH393265:FUH393266 GED393265:GED393266 GNZ393265:GNZ393266 GXV393265:GXV393266 HHR393265:HHR393266 HRN393265:HRN393266 IBJ393265:IBJ393266 ILF393265:ILF393266 IVB393265:IVB393266 JEX393265:JEX393266 JOT393265:JOT393266 JYP393265:JYP393266 KIL393265:KIL393266 KSH393265:KSH393266 LCD393265:LCD393266 LLZ393265:LLZ393266 LVV393265:LVV393266 MFR393265:MFR393266 MPN393265:MPN393266 MZJ393265:MZJ393266 NJF393265:NJF393266 NTB393265:NTB393266 OCX393265:OCX393266 OMT393265:OMT393266 OWP393265:OWP393266 PGL393265:PGL393266 PQH393265:PQH393266 QAD393265:QAD393266 QJZ393265:QJZ393266 QTV393265:QTV393266 RDR393265:RDR393266 RNN393265:RNN393266 RXJ393265:RXJ393266 SHF393265:SHF393266 SRB393265:SRB393266 TAX393265:TAX393266 TKT393265:TKT393266 TUP393265:TUP393266 UEL393265:UEL393266 UOH393265:UOH393266 UYD393265:UYD393266 VHZ393265:VHZ393266 VRV393265:VRV393266 WBR393265:WBR393266 WLN393265:WLN393266 WVJ393265:WVJ393266 B458801:B458802 IX458801:IX458802 ST458801:ST458802 ACP458801:ACP458802 AML458801:AML458802 AWH458801:AWH458802 BGD458801:BGD458802 BPZ458801:BPZ458802 BZV458801:BZV458802 CJR458801:CJR458802 CTN458801:CTN458802 DDJ458801:DDJ458802 DNF458801:DNF458802 DXB458801:DXB458802 EGX458801:EGX458802 EQT458801:EQT458802 FAP458801:FAP458802 FKL458801:FKL458802 FUH458801:FUH458802 GED458801:GED458802 GNZ458801:GNZ458802 GXV458801:GXV458802 HHR458801:HHR458802 HRN458801:HRN458802 IBJ458801:IBJ458802 ILF458801:ILF458802 IVB458801:IVB458802 JEX458801:JEX458802 JOT458801:JOT458802 JYP458801:JYP458802 KIL458801:KIL458802 KSH458801:KSH458802 LCD458801:LCD458802 LLZ458801:LLZ458802 LVV458801:LVV458802 MFR458801:MFR458802 MPN458801:MPN458802 MZJ458801:MZJ458802 NJF458801:NJF458802 NTB458801:NTB458802 OCX458801:OCX458802 OMT458801:OMT458802 OWP458801:OWP458802 PGL458801:PGL458802 PQH458801:PQH458802 QAD458801:QAD458802 QJZ458801:QJZ458802 QTV458801:QTV458802 RDR458801:RDR458802 RNN458801:RNN458802 RXJ458801:RXJ458802 SHF458801:SHF458802 SRB458801:SRB458802 TAX458801:TAX458802 TKT458801:TKT458802 TUP458801:TUP458802 UEL458801:UEL458802 UOH458801:UOH458802 UYD458801:UYD458802 VHZ458801:VHZ458802 VRV458801:VRV458802 WBR458801:WBR458802 WLN458801:WLN458802 WVJ458801:WVJ458802 B524337:B524338 IX524337:IX524338 ST524337:ST524338 ACP524337:ACP524338 AML524337:AML524338 AWH524337:AWH524338 BGD524337:BGD524338 BPZ524337:BPZ524338 BZV524337:BZV524338 CJR524337:CJR524338 CTN524337:CTN524338 DDJ524337:DDJ524338 DNF524337:DNF524338 DXB524337:DXB524338 EGX524337:EGX524338 EQT524337:EQT524338 FAP524337:FAP524338 FKL524337:FKL524338 FUH524337:FUH524338 GED524337:GED524338 GNZ524337:GNZ524338 GXV524337:GXV524338 HHR524337:HHR524338 HRN524337:HRN524338 IBJ524337:IBJ524338 ILF524337:ILF524338 IVB524337:IVB524338 JEX524337:JEX524338 JOT524337:JOT524338 JYP524337:JYP524338 KIL524337:KIL524338 KSH524337:KSH524338 LCD524337:LCD524338 LLZ524337:LLZ524338 LVV524337:LVV524338 MFR524337:MFR524338 MPN524337:MPN524338 MZJ524337:MZJ524338 NJF524337:NJF524338 NTB524337:NTB524338 OCX524337:OCX524338 OMT524337:OMT524338 OWP524337:OWP524338 PGL524337:PGL524338 PQH524337:PQH524338 QAD524337:QAD524338 QJZ524337:QJZ524338 QTV524337:QTV524338 RDR524337:RDR524338 RNN524337:RNN524338 RXJ524337:RXJ524338 SHF524337:SHF524338 SRB524337:SRB524338 TAX524337:TAX524338 TKT524337:TKT524338 TUP524337:TUP524338 UEL524337:UEL524338 UOH524337:UOH524338 UYD524337:UYD524338 VHZ524337:VHZ524338 VRV524337:VRV524338 WBR524337:WBR524338 WLN524337:WLN524338 WVJ524337:WVJ524338 B589873:B589874 IX589873:IX589874 ST589873:ST589874 ACP589873:ACP589874 AML589873:AML589874 AWH589873:AWH589874 BGD589873:BGD589874 BPZ589873:BPZ589874 BZV589873:BZV589874 CJR589873:CJR589874 CTN589873:CTN589874 DDJ589873:DDJ589874 DNF589873:DNF589874 DXB589873:DXB589874 EGX589873:EGX589874 EQT589873:EQT589874 FAP589873:FAP589874 FKL589873:FKL589874 FUH589873:FUH589874 GED589873:GED589874 GNZ589873:GNZ589874 GXV589873:GXV589874 HHR589873:HHR589874 HRN589873:HRN589874 IBJ589873:IBJ589874 ILF589873:ILF589874 IVB589873:IVB589874 JEX589873:JEX589874 JOT589873:JOT589874 JYP589873:JYP589874 KIL589873:KIL589874 KSH589873:KSH589874 LCD589873:LCD589874 LLZ589873:LLZ589874 LVV589873:LVV589874 MFR589873:MFR589874 MPN589873:MPN589874 MZJ589873:MZJ589874 NJF589873:NJF589874 NTB589873:NTB589874 OCX589873:OCX589874 OMT589873:OMT589874 OWP589873:OWP589874 PGL589873:PGL589874 PQH589873:PQH589874 QAD589873:QAD589874 QJZ589873:QJZ589874 QTV589873:QTV589874 RDR589873:RDR589874 RNN589873:RNN589874 RXJ589873:RXJ589874 SHF589873:SHF589874 SRB589873:SRB589874 TAX589873:TAX589874 TKT589873:TKT589874 TUP589873:TUP589874 UEL589873:UEL589874 UOH589873:UOH589874 UYD589873:UYD589874 VHZ589873:VHZ589874 VRV589873:VRV589874 WBR589873:WBR589874 WLN589873:WLN589874 WVJ589873:WVJ589874 B655409:B655410 IX655409:IX655410 ST655409:ST655410 ACP655409:ACP655410 AML655409:AML655410 AWH655409:AWH655410 BGD655409:BGD655410 BPZ655409:BPZ655410 BZV655409:BZV655410 CJR655409:CJR655410 CTN655409:CTN655410 DDJ655409:DDJ655410 DNF655409:DNF655410 DXB655409:DXB655410 EGX655409:EGX655410 EQT655409:EQT655410 FAP655409:FAP655410 FKL655409:FKL655410 FUH655409:FUH655410 GED655409:GED655410 GNZ655409:GNZ655410 GXV655409:GXV655410 HHR655409:HHR655410 HRN655409:HRN655410 IBJ655409:IBJ655410 ILF655409:ILF655410 IVB655409:IVB655410 JEX655409:JEX655410 JOT655409:JOT655410 JYP655409:JYP655410 KIL655409:KIL655410 KSH655409:KSH655410 LCD655409:LCD655410 LLZ655409:LLZ655410 LVV655409:LVV655410 MFR655409:MFR655410 MPN655409:MPN655410 MZJ655409:MZJ655410 NJF655409:NJF655410 NTB655409:NTB655410 OCX655409:OCX655410 OMT655409:OMT655410 OWP655409:OWP655410 PGL655409:PGL655410 PQH655409:PQH655410 QAD655409:QAD655410 QJZ655409:QJZ655410 QTV655409:QTV655410 RDR655409:RDR655410 RNN655409:RNN655410 RXJ655409:RXJ655410 SHF655409:SHF655410 SRB655409:SRB655410 TAX655409:TAX655410 TKT655409:TKT655410 TUP655409:TUP655410 UEL655409:UEL655410 UOH655409:UOH655410 UYD655409:UYD655410 VHZ655409:VHZ655410 VRV655409:VRV655410 WBR655409:WBR655410 WLN655409:WLN655410 WVJ655409:WVJ655410 B720945:B720946 IX720945:IX720946 ST720945:ST720946 ACP720945:ACP720946 AML720945:AML720946 AWH720945:AWH720946 BGD720945:BGD720946 BPZ720945:BPZ720946 BZV720945:BZV720946 CJR720945:CJR720946 CTN720945:CTN720946 DDJ720945:DDJ720946 DNF720945:DNF720946 DXB720945:DXB720946 EGX720945:EGX720946 EQT720945:EQT720946 FAP720945:FAP720946 FKL720945:FKL720946 FUH720945:FUH720946 GED720945:GED720946 GNZ720945:GNZ720946 GXV720945:GXV720946 HHR720945:HHR720946 HRN720945:HRN720946 IBJ720945:IBJ720946 ILF720945:ILF720946 IVB720945:IVB720946 JEX720945:JEX720946 JOT720945:JOT720946 JYP720945:JYP720946 KIL720945:KIL720946 KSH720945:KSH720946 LCD720945:LCD720946 LLZ720945:LLZ720946 LVV720945:LVV720946 MFR720945:MFR720946 MPN720945:MPN720946 MZJ720945:MZJ720946 NJF720945:NJF720946 NTB720945:NTB720946 OCX720945:OCX720946 OMT720945:OMT720946 OWP720945:OWP720946 PGL720945:PGL720946 PQH720945:PQH720946 QAD720945:QAD720946 QJZ720945:QJZ720946 QTV720945:QTV720946 RDR720945:RDR720946 RNN720945:RNN720946 RXJ720945:RXJ720946 SHF720945:SHF720946 SRB720945:SRB720946 TAX720945:TAX720946 TKT720945:TKT720946 TUP720945:TUP720946 UEL720945:UEL720946 UOH720945:UOH720946 UYD720945:UYD720946 VHZ720945:VHZ720946 VRV720945:VRV720946 WBR720945:WBR720946 WLN720945:WLN720946 WVJ720945:WVJ720946 B786481:B786482 IX786481:IX786482 ST786481:ST786482 ACP786481:ACP786482 AML786481:AML786482 AWH786481:AWH786482 BGD786481:BGD786482 BPZ786481:BPZ786482 BZV786481:BZV786482 CJR786481:CJR786482 CTN786481:CTN786482 DDJ786481:DDJ786482 DNF786481:DNF786482 DXB786481:DXB786482 EGX786481:EGX786482 EQT786481:EQT786482 FAP786481:FAP786482 FKL786481:FKL786482 FUH786481:FUH786482 GED786481:GED786482 GNZ786481:GNZ786482 GXV786481:GXV786482 HHR786481:HHR786482 HRN786481:HRN786482 IBJ786481:IBJ786482 ILF786481:ILF786482 IVB786481:IVB786482 JEX786481:JEX786482 JOT786481:JOT786482 JYP786481:JYP786482 KIL786481:KIL786482 KSH786481:KSH786482 LCD786481:LCD786482 LLZ786481:LLZ786482 LVV786481:LVV786482 MFR786481:MFR786482 MPN786481:MPN786482 MZJ786481:MZJ786482 NJF786481:NJF786482 NTB786481:NTB786482 OCX786481:OCX786482 OMT786481:OMT786482 OWP786481:OWP786482 PGL786481:PGL786482 PQH786481:PQH786482 QAD786481:QAD786482 QJZ786481:QJZ786482 QTV786481:QTV786482 RDR786481:RDR786482 RNN786481:RNN786482 RXJ786481:RXJ786482 SHF786481:SHF786482 SRB786481:SRB786482 TAX786481:TAX786482 TKT786481:TKT786482 TUP786481:TUP786482 UEL786481:UEL786482 UOH786481:UOH786482 UYD786481:UYD786482 VHZ786481:VHZ786482 VRV786481:VRV786482 WBR786481:WBR786482 WLN786481:WLN786482 WVJ786481:WVJ786482 B852017:B852018 IX852017:IX852018 ST852017:ST852018 ACP852017:ACP852018 AML852017:AML852018 AWH852017:AWH852018 BGD852017:BGD852018 BPZ852017:BPZ852018 BZV852017:BZV852018 CJR852017:CJR852018 CTN852017:CTN852018 DDJ852017:DDJ852018 DNF852017:DNF852018 DXB852017:DXB852018 EGX852017:EGX852018 EQT852017:EQT852018 FAP852017:FAP852018 FKL852017:FKL852018 FUH852017:FUH852018 GED852017:GED852018 GNZ852017:GNZ852018 GXV852017:GXV852018 HHR852017:HHR852018 HRN852017:HRN852018 IBJ852017:IBJ852018 ILF852017:ILF852018 IVB852017:IVB852018 JEX852017:JEX852018 JOT852017:JOT852018 JYP852017:JYP852018 KIL852017:KIL852018 KSH852017:KSH852018 LCD852017:LCD852018 LLZ852017:LLZ852018 LVV852017:LVV852018 MFR852017:MFR852018 MPN852017:MPN852018 MZJ852017:MZJ852018 NJF852017:NJF852018 NTB852017:NTB852018 OCX852017:OCX852018 OMT852017:OMT852018 OWP852017:OWP852018 PGL852017:PGL852018 PQH852017:PQH852018 QAD852017:QAD852018 QJZ852017:QJZ852018 QTV852017:QTV852018 RDR852017:RDR852018 RNN852017:RNN852018 RXJ852017:RXJ852018 SHF852017:SHF852018 SRB852017:SRB852018 TAX852017:TAX852018 TKT852017:TKT852018 TUP852017:TUP852018 UEL852017:UEL852018 UOH852017:UOH852018 UYD852017:UYD852018 VHZ852017:VHZ852018 VRV852017:VRV852018 WBR852017:WBR852018 WLN852017:WLN852018 WVJ852017:WVJ852018 B917553:B917554 IX917553:IX917554 ST917553:ST917554 ACP917553:ACP917554 AML917553:AML917554 AWH917553:AWH917554 BGD917553:BGD917554 BPZ917553:BPZ917554 BZV917553:BZV917554 CJR917553:CJR917554 CTN917553:CTN917554 DDJ917553:DDJ917554 DNF917553:DNF917554 DXB917553:DXB917554 EGX917553:EGX917554 EQT917553:EQT917554 FAP917553:FAP917554 FKL917553:FKL917554 FUH917553:FUH917554 GED917553:GED917554 GNZ917553:GNZ917554 GXV917553:GXV917554 HHR917553:HHR917554 HRN917553:HRN917554 IBJ917553:IBJ917554 ILF917553:ILF917554 IVB917553:IVB917554 JEX917553:JEX917554 JOT917553:JOT917554 JYP917553:JYP917554 KIL917553:KIL917554 KSH917553:KSH917554 LCD917553:LCD917554 LLZ917553:LLZ917554 LVV917553:LVV917554 MFR917553:MFR917554 MPN917553:MPN917554 MZJ917553:MZJ917554 NJF917553:NJF917554 NTB917553:NTB917554 OCX917553:OCX917554 OMT917553:OMT917554 OWP917553:OWP917554 PGL917553:PGL917554 PQH917553:PQH917554 QAD917553:QAD917554 QJZ917553:QJZ917554 QTV917553:QTV917554 RDR917553:RDR917554 RNN917553:RNN917554 RXJ917553:RXJ917554 SHF917553:SHF917554 SRB917553:SRB917554 TAX917553:TAX917554 TKT917553:TKT917554 TUP917553:TUP917554 UEL917553:UEL917554 UOH917553:UOH917554 UYD917553:UYD917554 VHZ917553:VHZ917554 VRV917553:VRV917554 WBR917553:WBR917554 WLN917553:WLN917554 WVJ917553:WVJ917554 B983089:B983090 IX983089:IX983090 ST983089:ST983090 ACP983089:ACP983090 AML983089:AML983090 AWH983089:AWH983090 BGD983089:BGD983090 BPZ983089:BPZ983090 BZV983089:BZV983090 CJR983089:CJR983090 CTN983089:CTN983090 DDJ983089:DDJ983090 DNF983089:DNF983090 DXB983089:DXB983090 EGX983089:EGX983090 EQT983089:EQT983090 FAP983089:FAP983090 FKL983089:FKL983090 FUH983089:FUH983090 GED983089:GED983090 GNZ983089:GNZ983090 GXV983089:GXV983090 HHR983089:HHR983090 HRN983089:HRN983090 IBJ983089:IBJ983090 ILF983089:ILF983090 IVB983089:IVB983090 JEX983089:JEX983090 JOT983089:JOT983090 JYP983089:JYP983090 KIL983089:KIL983090 KSH983089:KSH983090 LCD983089:LCD983090 LLZ983089:LLZ983090 LVV983089:LVV983090 MFR983089:MFR983090 MPN983089:MPN983090 MZJ983089:MZJ983090 NJF983089:NJF983090 NTB983089:NTB983090 OCX983089:OCX983090 OMT983089:OMT983090 OWP983089:OWP983090 PGL983089:PGL983090 PQH983089:PQH983090 QAD983089:QAD983090 QJZ983089:QJZ983090 QTV983089:QTV983090 RDR983089:RDR983090 RNN983089:RNN983090 RXJ983089:RXJ983090 SHF983089:SHF983090 SRB983089:SRB983090 TAX983089:TAX983090 TKT983089:TKT983090 TUP983089:TUP983090 UEL983089:UEL983090 UOH983089:UOH983090 UYD983089:UYD983090 VHZ983089:VHZ983090 VRV983089:VRV983090 WBR983089:WBR983090 WLN983089:WLN983090 WVJ983089:WVJ983090 B33:B47 IX33:IX47 ST33:ST47 ACP33:ACP47 AML33:AML47 AWH33:AWH47 BGD33:BGD47 BPZ33:BPZ47 BZV33:BZV47 CJR33:CJR47 CTN33:CTN47 DDJ33:DDJ47 DNF33:DNF47 DXB33:DXB47 EGX33:EGX47 EQT33:EQT47 FAP33:FAP47 FKL33:FKL47 FUH33:FUH47 GED33:GED47 GNZ33:GNZ47 GXV33:GXV47 HHR33:HHR47 HRN33:HRN47 IBJ33:IBJ47 ILF33:ILF47 IVB33:IVB47 JEX33:JEX47 JOT33:JOT47 JYP33:JYP47 KIL33:KIL47 KSH33:KSH47 LCD33:LCD47 LLZ33:LLZ47 LVV33:LVV47 MFR33:MFR47 MPN33:MPN47 MZJ33:MZJ47 NJF33:NJF47 NTB33:NTB47 OCX33:OCX47 OMT33:OMT47 OWP33:OWP47 PGL33:PGL47 PQH33:PQH47 QAD33:QAD47 QJZ33:QJZ47 QTV33:QTV47 RDR33:RDR47 RNN33:RNN47 RXJ33:RXJ47 SHF33:SHF47 SRB33:SRB47 TAX33:TAX47 TKT33:TKT47 TUP33:TUP47 UEL33:UEL47 UOH33:UOH47 UYD33:UYD47 VHZ33:VHZ47 VRV33:VRV47 WBR33:WBR47 WLN33:WLN47 WVJ33:WVJ47 B65569:B65583 IX65569:IX65583 ST65569:ST65583 ACP65569:ACP65583 AML65569:AML65583 AWH65569:AWH65583 BGD65569:BGD65583 BPZ65569:BPZ65583 BZV65569:BZV65583 CJR65569:CJR65583 CTN65569:CTN65583 DDJ65569:DDJ65583 DNF65569:DNF65583 DXB65569:DXB65583 EGX65569:EGX65583 EQT65569:EQT65583 FAP65569:FAP65583 FKL65569:FKL65583 FUH65569:FUH65583 GED65569:GED65583 GNZ65569:GNZ65583 GXV65569:GXV65583 HHR65569:HHR65583 HRN65569:HRN65583 IBJ65569:IBJ65583 ILF65569:ILF65583 IVB65569:IVB65583 JEX65569:JEX65583 JOT65569:JOT65583 JYP65569:JYP65583 KIL65569:KIL65583 KSH65569:KSH65583 LCD65569:LCD65583 LLZ65569:LLZ65583 LVV65569:LVV65583 MFR65569:MFR65583 MPN65569:MPN65583 MZJ65569:MZJ65583 NJF65569:NJF65583 NTB65569:NTB65583 OCX65569:OCX65583 OMT65569:OMT65583 OWP65569:OWP65583 PGL65569:PGL65583 PQH65569:PQH65583 QAD65569:QAD65583 QJZ65569:QJZ65583 QTV65569:QTV65583 RDR65569:RDR65583 RNN65569:RNN65583 RXJ65569:RXJ65583 SHF65569:SHF65583 SRB65569:SRB65583 TAX65569:TAX65583 TKT65569:TKT65583 TUP65569:TUP65583 UEL65569:UEL65583 UOH65569:UOH65583 UYD65569:UYD65583 VHZ65569:VHZ65583 VRV65569:VRV65583 WBR65569:WBR65583 WLN65569:WLN65583 WVJ65569:WVJ65583 B131105:B131119 IX131105:IX131119 ST131105:ST131119 ACP131105:ACP131119 AML131105:AML131119 AWH131105:AWH131119 BGD131105:BGD131119 BPZ131105:BPZ131119 BZV131105:BZV131119 CJR131105:CJR131119 CTN131105:CTN131119 DDJ131105:DDJ131119 DNF131105:DNF131119 DXB131105:DXB131119 EGX131105:EGX131119 EQT131105:EQT131119 FAP131105:FAP131119 FKL131105:FKL131119 FUH131105:FUH131119 GED131105:GED131119 GNZ131105:GNZ131119 GXV131105:GXV131119 HHR131105:HHR131119 HRN131105:HRN131119 IBJ131105:IBJ131119 ILF131105:ILF131119 IVB131105:IVB131119 JEX131105:JEX131119 JOT131105:JOT131119 JYP131105:JYP131119 KIL131105:KIL131119 KSH131105:KSH131119 LCD131105:LCD131119 LLZ131105:LLZ131119 LVV131105:LVV131119 MFR131105:MFR131119 MPN131105:MPN131119 MZJ131105:MZJ131119 NJF131105:NJF131119 NTB131105:NTB131119 OCX131105:OCX131119 OMT131105:OMT131119 OWP131105:OWP131119 PGL131105:PGL131119 PQH131105:PQH131119 QAD131105:QAD131119 QJZ131105:QJZ131119 QTV131105:QTV131119 RDR131105:RDR131119 RNN131105:RNN131119 RXJ131105:RXJ131119 SHF131105:SHF131119 SRB131105:SRB131119 TAX131105:TAX131119 TKT131105:TKT131119 TUP131105:TUP131119 UEL131105:UEL131119 UOH131105:UOH131119 UYD131105:UYD131119 VHZ131105:VHZ131119 VRV131105:VRV131119 WBR131105:WBR131119 WLN131105:WLN131119 WVJ131105:WVJ131119 B196641:B196655 IX196641:IX196655 ST196641:ST196655 ACP196641:ACP196655 AML196641:AML196655 AWH196641:AWH196655 BGD196641:BGD196655 BPZ196641:BPZ196655 BZV196641:BZV196655 CJR196641:CJR196655 CTN196641:CTN196655 DDJ196641:DDJ196655 DNF196641:DNF196655 DXB196641:DXB196655 EGX196641:EGX196655 EQT196641:EQT196655 FAP196641:FAP196655 FKL196641:FKL196655 FUH196641:FUH196655 GED196641:GED196655 GNZ196641:GNZ196655 GXV196641:GXV196655 HHR196641:HHR196655 HRN196641:HRN196655 IBJ196641:IBJ196655 ILF196641:ILF196655 IVB196641:IVB196655 JEX196641:JEX196655 JOT196641:JOT196655 JYP196641:JYP196655 KIL196641:KIL196655 KSH196641:KSH196655 LCD196641:LCD196655 LLZ196641:LLZ196655 LVV196641:LVV196655 MFR196641:MFR196655 MPN196641:MPN196655 MZJ196641:MZJ196655 NJF196641:NJF196655 NTB196641:NTB196655 OCX196641:OCX196655 OMT196641:OMT196655 OWP196641:OWP196655 PGL196641:PGL196655 PQH196641:PQH196655 QAD196641:QAD196655 QJZ196641:QJZ196655 QTV196641:QTV196655 RDR196641:RDR196655 RNN196641:RNN196655 RXJ196641:RXJ196655 SHF196641:SHF196655 SRB196641:SRB196655 TAX196641:TAX196655 TKT196641:TKT196655 TUP196641:TUP196655 UEL196641:UEL196655 UOH196641:UOH196655 UYD196641:UYD196655 VHZ196641:VHZ196655 VRV196641:VRV196655 WBR196641:WBR196655 WLN196641:WLN196655 WVJ196641:WVJ196655 B262177:B262191 IX262177:IX262191 ST262177:ST262191 ACP262177:ACP262191 AML262177:AML262191 AWH262177:AWH262191 BGD262177:BGD262191 BPZ262177:BPZ262191 BZV262177:BZV262191 CJR262177:CJR262191 CTN262177:CTN262191 DDJ262177:DDJ262191 DNF262177:DNF262191 DXB262177:DXB262191 EGX262177:EGX262191 EQT262177:EQT262191 FAP262177:FAP262191 FKL262177:FKL262191 FUH262177:FUH262191 GED262177:GED262191 GNZ262177:GNZ262191 GXV262177:GXV262191 HHR262177:HHR262191 HRN262177:HRN262191 IBJ262177:IBJ262191 ILF262177:ILF262191 IVB262177:IVB262191 JEX262177:JEX262191 JOT262177:JOT262191 JYP262177:JYP262191 KIL262177:KIL262191 KSH262177:KSH262191 LCD262177:LCD262191 LLZ262177:LLZ262191 LVV262177:LVV262191 MFR262177:MFR262191 MPN262177:MPN262191 MZJ262177:MZJ262191 NJF262177:NJF262191 NTB262177:NTB262191 OCX262177:OCX262191 OMT262177:OMT262191 OWP262177:OWP262191 PGL262177:PGL262191 PQH262177:PQH262191 QAD262177:QAD262191 QJZ262177:QJZ262191 QTV262177:QTV262191 RDR262177:RDR262191 RNN262177:RNN262191 RXJ262177:RXJ262191 SHF262177:SHF262191 SRB262177:SRB262191 TAX262177:TAX262191 TKT262177:TKT262191 TUP262177:TUP262191 UEL262177:UEL262191 UOH262177:UOH262191 UYD262177:UYD262191 VHZ262177:VHZ262191 VRV262177:VRV262191 WBR262177:WBR262191 WLN262177:WLN262191 WVJ262177:WVJ262191 B327713:B327727 IX327713:IX327727 ST327713:ST327727 ACP327713:ACP327727 AML327713:AML327727 AWH327713:AWH327727 BGD327713:BGD327727 BPZ327713:BPZ327727 BZV327713:BZV327727 CJR327713:CJR327727 CTN327713:CTN327727 DDJ327713:DDJ327727 DNF327713:DNF327727 DXB327713:DXB327727 EGX327713:EGX327727 EQT327713:EQT327727 FAP327713:FAP327727 FKL327713:FKL327727 FUH327713:FUH327727 GED327713:GED327727 GNZ327713:GNZ327727 GXV327713:GXV327727 HHR327713:HHR327727 HRN327713:HRN327727 IBJ327713:IBJ327727 ILF327713:ILF327727 IVB327713:IVB327727 JEX327713:JEX327727 JOT327713:JOT327727 JYP327713:JYP327727 KIL327713:KIL327727 KSH327713:KSH327727 LCD327713:LCD327727 LLZ327713:LLZ327727 LVV327713:LVV327727 MFR327713:MFR327727 MPN327713:MPN327727 MZJ327713:MZJ327727 NJF327713:NJF327727 NTB327713:NTB327727 OCX327713:OCX327727 OMT327713:OMT327727 OWP327713:OWP327727 PGL327713:PGL327727 PQH327713:PQH327727 QAD327713:QAD327727 QJZ327713:QJZ327727 QTV327713:QTV327727 RDR327713:RDR327727 RNN327713:RNN327727 RXJ327713:RXJ327727 SHF327713:SHF327727 SRB327713:SRB327727 TAX327713:TAX327727 TKT327713:TKT327727 TUP327713:TUP327727 UEL327713:UEL327727 UOH327713:UOH327727 UYD327713:UYD327727 VHZ327713:VHZ327727 VRV327713:VRV327727 WBR327713:WBR327727 WLN327713:WLN327727 WVJ327713:WVJ327727 B393249:B393263 IX393249:IX393263 ST393249:ST393263 ACP393249:ACP393263 AML393249:AML393263 AWH393249:AWH393263 BGD393249:BGD393263 BPZ393249:BPZ393263 BZV393249:BZV393263 CJR393249:CJR393263 CTN393249:CTN393263 DDJ393249:DDJ393263 DNF393249:DNF393263 DXB393249:DXB393263 EGX393249:EGX393263 EQT393249:EQT393263 FAP393249:FAP393263 FKL393249:FKL393263 FUH393249:FUH393263 GED393249:GED393263 GNZ393249:GNZ393263 GXV393249:GXV393263 HHR393249:HHR393263 HRN393249:HRN393263 IBJ393249:IBJ393263 ILF393249:ILF393263 IVB393249:IVB393263 JEX393249:JEX393263 JOT393249:JOT393263 JYP393249:JYP393263 KIL393249:KIL393263 KSH393249:KSH393263 LCD393249:LCD393263 LLZ393249:LLZ393263 LVV393249:LVV393263 MFR393249:MFR393263 MPN393249:MPN393263 MZJ393249:MZJ393263 NJF393249:NJF393263 NTB393249:NTB393263 OCX393249:OCX393263 OMT393249:OMT393263 OWP393249:OWP393263 PGL393249:PGL393263 PQH393249:PQH393263 QAD393249:QAD393263 QJZ393249:QJZ393263 QTV393249:QTV393263 RDR393249:RDR393263 RNN393249:RNN393263 RXJ393249:RXJ393263 SHF393249:SHF393263 SRB393249:SRB393263 TAX393249:TAX393263 TKT393249:TKT393263 TUP393249:TUP393263 UEL393249:UEL393263 UOH393249:UOH393263 UYD393249:UYD393263 VHZ393249:VHZ393263 VRV393249:VRV393263 WBR393249:WBR393263 WLN393249:WLN393263 WVJ393249:WVJ393263 B458785:B458799 IX458785:IX458799 ST458785:ST458799 ACP458785:ACP458799 AML458785:AML458799 AWH458785:AWH458799 BGD458785:BGD458799 BPZ458785:BPZ458799 BZV458785:BZV458799 CJR458785:CJR458799 CTN458785:CTN458799 DDJ458785:DDJ458799 DNF458785:DNF458799 DXB458785:DXB458799 EGX458785:EGX458799 EQT458785:EQT458799 FAP458785:FAP458799 FKL458785:FKL458799 FUH458785:FUH458799 GED458785:GED458799 GNZ458785:GNZ458799 GXV458785:GXV458799 HHR458785:HHR458799 HRN458785:HRN458799 IBJ458785:IBJ458799 ILF458785:ILF458799 IVB458785:IVB458799 JEX458785:JEX458799 JOT458785:JOT458799 JYP458785:JYP458799 KIL458785:KIL458799 KSH458785:KSH458799 LCD458785:LCD458799 LLZ458785:LLZ458799 LVV458785:LVV458799 MFR458785:MFR458799 MPN458785:MPN458799 MZJ458785:MZJ458799 NJF458785:NJF458799 NTB458785:NTB458799 OCX458785:OCX458799 OMT458785:OMT458799 OWP458785:OWP458799 PGL458785:PGL458799 PQH458785:PQH458799 QAD458785:QAD458799 QJZ458785:QJZ458799 QTV458785:QTV458799 RDR458785:RDR458799 RNN458785:RNN458799 RXJ458785:RXJ458799 SHF458785:SHF458799 SRB458785:SRB458799 TAX458785:TAX458799 TKT458785:TKT458799 TUP458785:TUP458799 UEL458785:UEL458799 UOH458785:UOH458799 UYD458785:UYD458799 VHZ458785:VHZ458799 VRV458785:VRV458799 WBR458785:WBR458799 WLN458785:WLN458799 WVJ458785:WVJ458799 B524321:B524335 IX524321:IX524335 ST524321:ST524335 ACP524321:ACP524335 AML524321:AML524335 AWH524321:AWH524335 BGD524321:BGD524335 BPZ524321:BPZ524335 BZV524321:BZV524335 CJR524321:CJR524335 CTN524321:CTN524335 DDJ524321:DDJ524335 DNF524321:DNF524335 DXB524321:DXB524335 EGX524321:EGX524335 EQT524321:EQT524335 FAP524321:FAP524335 FKL524321:FKL524335 FUH524321:FUH524335 GED524321:GED524335 GNZ524321:GNZ524335 GXV524321:GXV524335 HHR524321:HHR524335 HRN524321:HRN524335 IBJ524321:IBJ524335 ILF524321:ILF524335 IVB524321:IVB524335 JEX524321:JEX524335 JOT524321:JOT524335 JYP524321:JYP524335 KIL524321:KIL524335 KSH524321:KSH524335 LCD524321:LCD524335 LLZ524321:LLZ524335 LVV524321:LVV524335 MFR524321:MFR524335 MPN524321:MPN524335 MZJ524321:MZJ524335 NJF524321:NJF524335 NTB524321:NTB524335 OCX524321:OCX524335 OMT524321:OMT524335 OWP524321:OWP524335 PGL524321:PGL524335 PQH524321:PQH524335 QAD524321:QAD524335 QJZ524321:QJZ524335 QTV524321:QTV524335 RDR524321:RDR524335 RNN524321:RNN524335 RXJ524321:RXJ524335 SHF524321:SHF524335 SRB524321:SRB524335 TAX524321:TAX524335 TKT524321:TKT524335 TUP524321:TUP524335 UEL524321:UEL524335 UOH524321:UOH524335 UYD524321:UYD524335 VHZ524321:VHZ524335 VRV524321:VRV524335 WBR524321:WBR524335 WLN524321:WLN524335 WVJ524321:WVJ524335 B589857:B589871 IX589857:IX589871 ST589857:ST589871 ACP589857:ACP589871 AML589857:AML589871 AWH589857:AWH589871 BGD589857:BGD589871 BPZ589857:BPZ589871 BZV589857:BZV589871 CJR589857:CJR589871 CTN589857:CTN589871 DDJ589857:DDJ589871 DNF589857:DNF589871 DXB589857:DXB589871 EGX589857:EGX589871 EQT589857:EQT589871 FAP589857:FAP589871 FKL589857:FKL589871 FUH589857:FUH589871 GED589857:GED589871 GNZ589857:GNZ589871 GXV589857:GXV589871 HHR589857:HHR589871 HRN589857:HRN589871 IBJ589857:IBJ589871 ILF589857:ILF589871 IVB589857:IVB589871 JEX589857:JEX589871 JOT589857:JOT589871 JYP589857:JYP589871 KIL589857:KIL589871 KSH589857:KSH589871 LCD589857:LCD589871 LLZ589857:LLZ589871 LVV589857:LVV589871 MFR589857:MFR589871 MPN589857:MPN589871 MZJ589857:MZJ589871 NJF589857:NJF589871 NTB589857:NTB589871 OCX589857:OCX589871 OMT589857:OMT589871 OWP589857:OWP589871 PGL589857:PGL589871 PQH589857:PQH589871 QAD589857:QAD589871 QJZ589857:QJZ589871 QTV589857:QTV589871 RDR589857:RDR589871 RNN589857:RNN589871 RXJ589857:RXJ589871 SHF589857:SHF589871 SRB589857:SRB589871 TAX589857:TAX589871 TKT589857:TKT589871 TUP589857:TUP589871 UEL589857:UEL589871 UOH589857:UOH589871 UYD589857:UYD589871 VHZ589857:VHZ589871 VRV589857:VRV589871 WBR589857:WBR589871 WLN589857:WLN589871 WVJ589857:WVJ589871 B655393:B655407 IX655393:IX655407 ST655393:ST655407 ACP655393:ACP655407 AML655393:AML655407 AWH655393:AWH655407 BGD655393:BGD655407 BPZ655393:BPZ655407 BZV655393:BZV655407 CJR655393:CJR655407 CTN655393:CTN655407 DDJ655393:DDJ655407 DNF655393:DNF655407 DXB655393:DXB655407 EGX655393:EGX655407 EQT655393:EQT655407 FAP655393:FAP655407 FKL655393:FKL655407 FUH655393:FUH655407 GED655393:GED655407 GNZ655393:GNZ655407 GXV655393:GXV655407 HHR655393:HHR655407 HRN655393:HRN655407 IBJ655393:IBJ655407 ILF655393:ILF655407 IVB655393:IVB655407 JEX655393:JEX655407 JOT655393:JOT655407 JYP655393:JYP655407 KIL655393:KIL655407 KSH655393:KSH655407 LCD655393:LCD655407 LLZ655393:LLZ655407 LVV655393:LVV655407 MFR655393:MFR655407 MPN655393:MPN655407 MZJ655393:MZJ655407 NJF655393:NJF655407 NTB655393:NTB655407 OCX655393:OCX655407 OMT655393:OMT655407 OWP655393:OWP655407 PGL655393:PGL655407 PQH655393:PQH655407 QAD655393:QAD655407 QJZ655393:QJZ655407 QTV655393:QTV655407 RDR655393:RDR655407 RNN655393:RNN655407 RXJ655393:RXJ655407 SHF655393:SHF655407 SRB655393:SRB655407 TAX655393:TAX655407 TKT655393:TKT655407 TUP655393:TUP655407 UEL655393:UEL655407 UOH655393:UOH655407 UYD655393:UYD655407 VHZ655393:VHZ655407 VRV655393:VRV655407 WBR655393:WBR655407 WLN655393:WLN655407 WVJ655393:WVJ655407 B720929:B720943 IX720929:IX720943 ST720929:ST720943 ACP720929:ACP720943 AML720929:AML720943 AWH720929:AWH720943 BGD720929:BGD720943 BPZ720929:BPZ720943 BZV720929:BZV720943 CJR720929:CJR720943 CTN720929:CTN720943 DDJ720929:DDJ720943 DNF720929:DNF720943 DXB720929:DXB720943 EGX720929:EGX720943 EQT720929:EQT720943 FAP720929:FAP720943 FKL720929:FKL720943 FUH720929:FUH720943 GED720929:GED720943 GNZ720929:GNZ720943 GXV720929:GXV720943 HHR720929:HHR720943 HRN720929:HRN720943 IBJ720929:IBJ720943 ILF720929:ILF720943 IVB720929:IVB720943 JEX720929:JEX720943 JOT720929:JOT720943 JYP720929:JYP720943 KIL720929:KIL720943 KSH720929:KSH720943 LCD720929:LCD720943 LLZ720929:LLZ720943 LVV720929:LVV720943 MFR720929:MFR720943 MPN720929:MPN720943 MZJ720929:MZJ720943 NJF720929:NJF720943 NTB720929:NTB720943 OCX720929:OCX720943 OMT720929:OMT720943 OWP720929:OWP720943 PGL720929:PGL720943 PQH720929:PQH720943 QAD720929:QAD720943 QJZ720929:QJZ720943 QTV720929:QTV720943 RDR720929:RDR720943 RNN720929:RNN720943 RXJ720929:RXJ720943 SHF720929:SHF720943 SRB720929:SRB720943 TAX720929:TAX720943 TKT720929:TKT720943 TUP720929:TUP720943 UEL720929:UEL720943 UOH720929:UOH720943 UYD720929:UYD720943 VHZ720929:VHZ720943 VRV720929:VRV720943 WBR720929:WBR720943 WLN720929:WLN720943 WVJ720929:WVJ720943 B786465:B786479 IX786465:IX786479 ST786465:ST786479 ACP786465:ACP786479 AML786465:AML786479 AWH786465:AWH786479 BGD786465:BGD786479 BPZ786465:BPZ786479 BZV786465:BZV786479 CJR786465:CJR786479 CTN786465:CTN786479 DDJ786465:DDJ786479 DNF786465:DNF786479 DXB786465:DXB786479 EGX786465:EGX786479 EQT786465:EQT786479 FAP786465:FAP786479 FKL786465:FKL786479 FUH786465:FUH786479 GED786465:GED786479 GNZ786465:GNZ786479 GXV786465:GXV786479 HHR786465:HHR786479 HRN786465:HRN786479 IBJ786465:IBJ786479 ILF786465:ILF786479 IVB786465:IVB786479 JEX786465:JEX786479 JOT786465:JOT786479 JYP786465:JYP786479 KIL786465:KIL786479 KSH786465:KSH786479 LCD786465:LCD786479 LLZ786465:LLZ786479 LVV786465:LVV786479 MFR786465:MFR786479 MPN786465:MPN786479 MZJ786465:MZJ786479 NJF786465:NJF786479 NTB786465:NTB786479 OCX786465:OCX786479 OMT786465:OMT786479 OWP786465:OWP786479 PGL786465:PGL786479 PQH786465:PQH786479 QAD786465:QAD786479 QJZ786465:QJZ786479 QTV786465:QTV786479 RDR786465:RDR786479 RNN786465:RNN786479 RXJ786465:RXJ786479 SHF786465:SHF786479 SRB786465:SRB786479 TAX786465:TAX786479 TKT786465:TKT786479 TUP786465:TUP786479 UEL786465:UEL786479 UOH786465:UOH786479 UYD786465:UYD786479 VHZ786465:VHZ786479 VRV786465:VRV786479 WBR786465:WBR786479 WLN786465:WLN786479 WVJ786465:WVJ786479 B852001:B852015 IX852001:IX852015 ST852001:ST852015 ACP852001:ACP852015 AML852001:AML852015 AWH852001:AWH852015 BGD852001:BGD852015 BPZ852001:BPZ852015 BZV852001:BZV852015 CJR852001:CJR852015 CTN852001:CTN852015 DDJ852001:DDJ852015 DNF852001:DNF852015 DXB852001:DXB852015 EGX852001:EGX852015 EQT852001:EQT852015 FAP852001:FAP852015 FKL852001:FKL852015 FUH852001:FUH852015 GED852001:GED852015 GNZ852001:GNZ852015 GXV852001:GXV852015 HHR852001:HHR852015 HRN852001:HRN852015 IBJ852001:IBJ852015 ILF852001:ILF852015 IVB852001:IVB852015 JEX852001:JEX852015 JOT852001:JOT852015 JYP852001:JYP852015 KIL852001:KIL852015 KSH852001:KSH852015 LCD852001:LCD852015 LLZ852001:LLZ852015 LVV852001:LVV852015 MFR852001:MFR852015 MPN852001:MPN852015 MZJ852001:MZJ852015 NJF852001:NJF852015 NTB852001:NTB852015 OCX852001:OCX852015 OMT852001:OMT852015 OWP852001:OWP852015 PGL852001:PGL852015 PQH852001:PQH852015 QAD852001:QAD852015 QJZ852001:QJZ852015 QTV852001:QTV852015 RDR852001:RDR852015 RNN852001:RNN852015 RXJ852001:RXJ852015 SHF852001:SHF852015 SRB852001:SRB852015 TAX852001:TAX852015 TKT852001:TKT852015 TUP852001:TUP852015 UEL852001:UEL852015 UOH852001:UOH852015 UYD852001:UYD852015 VHZ852001:VHZ852015 VRV852001:VRV852015 WBR852001:WBR852015 WLN852001:WLN852015 WVJ852001:WVJ852015 B917537:B917551 IX917537:IX917551 ST917537:ST917551 ACP917537:ACP917551 AML917537:AML917551 AWH917537:AWH917551 BGD917537:BGD917551 BPZ917537:BPZ917551 BZV917537:BZV917551 CJR917537:CJR917551 CTN917537:CTN917551 DDJ917537:DDJ917551 DNF917537:DNF917551 DXB917537:DXB917551 EGX917537:EGX917551 EQT917537:EQT917551 FAP917537:FAP917551 FKL917537:FKL917551 FUH917537:FUH917551 GED917537:GED917551 GNZ917537:GNZ917551 GXV917537:GXV917551 HHR917537:HHR917551 HRN917537:HRN917551 IBJ917537:IBJ917551 ILF917537:ILF917551 IVB917537:IVB917551 JEX917537:JEX917551 JOT917537:JOT917551 JYP917537:JYP917551 KIL917537:KIL917551 KSH917537:KSH917551 LCD917537:LCD917551 LLZ917537:LLZ917551 LVV917537:LVV917551 MFR917537:MFR917551 MPN917537:MPN917551 MZJ917537:MZJ917551 NJF917537:NJF917551 NTB917537:NTB917551 OCX917537:OCX917551 OMT917537:OMT917551 OWP917537:OWP917551 PGL917537:PGL917551 PQH917537:PQH917551 QAD917537:QAD917551 QJZ917537:QJZ917551 QTV917537:QTV917551 RDR917537:RDR917551 RNN917537:RNN917551 RXJ917537:RXJ917551 SHF917537:SHF917551 SRB917537:SRB917551 TAX917537:TAX917551 TKT917537:TKT917551 TUP917537:TUP917551 UEL917537:UEL917551 UOH917537:UOH917551 UYD917537:UYD917551 VHZ917537:VHZ917551 VRV917537:VRV917551 WBR917537:WBR917551 WLN917537:WLN917551 WVJ917537:WVJ917551 B983073:B983087 IX983073:IX983087 ST983073:ST983087 ACP983073:ACP983087 AML983073:AML983087 AWH983073:AWH983087 BGD983073:BGD983087 BPZ983073:BPZ983087 BZV983073:BZV983087 CJR983073:CJR983087 CTN983073:CTN983087 DDJ983073:DDJ983087 DNF983073:DNF983087 DXB983073:DXB983087 EGX983073:EGX983087 EQT983073:EQT983087 FAP983073:FAP983087 FKL983073:FKL983087 FUH983073:FUH983087 GED983073:GED983087 GNZ983073:GNZ983087 GXV983073:GXV983087 HHR983073:HHR983087 HRN983073:HRN983087 IBJ983073:IBJ983087 ILF983073:ILF983087 IVB983073:IVB983087 JEX983073:JEX983087 JOT983073:JOT983087 JYP983073:JYP983087 KIL983073:KIL983087 KSH983073:KSH983087 LCD983073:LCD983087 LLZ983073:LLZ983087 LVV983073:LVV983087 MFR983073:MFR983087 MPN983073:MPN983087 MZJ983073:MZJ983087 NJF983073:NJF983087 NTB983073:NTB983087 OCX983073:OCX983087 OMT983073:OMT983087 OWP983073:OWP983087 PGL983073:PGL983087 PQH983073:PQH983087 QAD983073:QAD983087 QJZ983073:QJZ983087 QTV983073:QTV983087 RDR983073:RDR983087 RNN983073:RNN983087 RXJ983073:RXJ983087 SHF983073:SHF983087 SRB983073:SRB983087 TAX983073:TAX983087 TKT983073:TKT983087 TUP983073:TUP983087 UEL983073:UEL983087 UOH983073:UOH983087 UYD983073:UYD983087 VHZ983073:VHZ983087 VRV983073:VRV983087 WBR983073:WBR983087 WLN983073:WLN983087 WVJ983073:WVJ983087" xr:uid="{43B0FB65-757D-4A85-AE67-F14F870D99AC}">
      <formula1>list</formula1>
    </dataValidation>
  </dataValidations>
  <printOptions horizontalCentered="1"/>
  <pageMargins left="0.11811023622047245" right="0.11811023622047245" top="0.74803149606299213" bottom="0.74803149606299213" header="0.31496062992125984" footer="0.31496062992125984"/>
  <pageSetup paperSize="9" scale="8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5ED1-1318-4739-BF3D-2DC7E60B80A0}">
  <sheetPr>
    <tabColor rgb="FFFFFF00"/>
    <pageSetUpPr fitToPage="1"/>
  </sheetPr>
  <dimension ref="A1:F63"/>
  <sheetViews>
    <sheetView topLeftCell="A22" zoomScale="98" zoomScaleNormal="48" zoomScaleSheetLayoutView="100" workbookViewId="0">
      <selection activeCell="C57" sqref="C57"/>
    </sheetView>
  </sheetViews>
  <sheetFormatPr defaultColWidth="8.77734375" defaultRowHeight="14.4" x14ac:dyDescent="0.3"/>
  <cols>
    <col min="1" max="1" width="8.77734375" style="195"/>
    <col min="2" max="2" width="10.44140625" style="195" customWidth="1"/>
    <col min="3" max="3" width="44.6640625" style="195" customWidth="1"/>
    <col min="4" max="4" width="11.44140625" style="195" customWidth="1"/>
    <col min="5" max="5" width="15.88671875" style="195" customWidth="1"/>
    <col min="6" max="6" width="19.109375" style="195" customWidth="1"/>
    <col min="7" max="7" width="4.6640625" style="195" customWidth="1"/>
    <col min="8" max="16384" width="8.77734375" style="195"/>
  </cols>
  <sheetData>
    <row r="1" spans="1:6" x14ac:dyDescent="0.3">
      <c r="A1" s="594" t="s">
        <v>77</v>
      </c>
      <c r="B1" s="594"/>
      <c r="C1" s="594"/>
      <c r="D1" s="594"/>
      <c r="E1" s="595" t="s">
        <v>78</v>
      </c>
      <c r="F1" s="595"/>
    </row>
    <row r="2" spans="1:6" ht="9.75" customHeight="1" x14ac:dyDescent="0.3">
      <c r="A2" s="596"/>
      <c r="B2" s="596"/>
      <c r="C2" s="596"/>
      <c r="D2" s="596"/>
      <c r="E2" s="596"/>
      <c r="F2" s="596"/>
    </row>
    <row r="3" spans="1:6" ht="7.5" customHeight="1" x14ac:dyDescent="0.3">
      <c r="A3" s="196"/>
      <c r="B3" s="196"/>
      <c r="C3" s="196"/>
      <c r="D3" s="196"/>
      <c r="E3" s="196"/>
      <c r="F3" s="196"/>
    </row>
    <row r="4" spans="1:6" x14ac:dyDescent="0.3">
      <c r="A4" s="597" t="s">
        <v>2</v>
      </c>
      <c r="B4" s="597"/>
      <c r="C4" s="597"/>
      <c r="D4" s="597"/>
      <c r="E4" s="597"/>
      <c r="F4" s="597"/>
    </row>
    <row r="5" spans="1:6" x14ac:dyDescent="0.3">
      <c r="A5" s="594" t="s">
        <v>79</v>
      </c>
      <c r="B5" s="594"/>
      <c r="C5" s="594"/>
      <c r="D5" s="594"/>
      <c r="E5" s="594"/>
      <c r="F5" s="594"/>
    </row>
    <row r="6" spans="1:6" ht="8.25" customHeight="1" thickBot="1" x14ac:dyDescent="0.35">
      <c r="A6" s="196"/>
      <c r="B6" s="196"/>
      <c r="C6" s="196"/>
      <c r="D6" s="196"/>
      <c r="E6" s="196"/>
      <c r="F6" s="196"/>
    </row>
    <row r="7" spans="1:6" ht="38.25" customHeight="1" x14ac:dyDescent="0.3">
      <c r="A7" s="198" t="s">
        <v>80</v>
      </c>
      <c r="B7" s="598"/>
      <c r="C7" s="598"/>
      <c r="D7" s="199" t="s">
        <v>81</v>
      </c>
      <c r="E7" s="200" t="s">
        <v>82</v>
      </c>
      <c r="F7" s="201"/>
    </row>
    <row r="8" spans="1:6" ht="21" customHeight="1" x14ac:dyDescent="0.3">
      <c r="A8" s="202" t="s">
        <v>83</v>
      </c>
      <c r="B8" s="586"/>
      <c r="C8" s="586"/>
      <c r="D8" s="196" t="s">
        <v>13</v>
      </c>
      <c r="E8" s="203">
        <v>46116</v>
      </c>
      <c r="F8" s="204"/>
    </row>
    <row r="9" spans="1:6" x14ac:dyDescent="0.3">
      <c r="A9" s="202" t="s">
        <v>84</v>
      </c>
      <c r="B9" s="586"/>
      <c r="C9" s="586"/>
      <c r="D9" s="587" t="s">
        <v>85</v>
      </c>
      <c r="E9" s="587"/>
      <c r="F9" s="588"/>
    </row>
    <row r="10" spans="1:6" ht="7.5" customHeight="1" thickBot="1" x14ac:dyDescent="0.35">
      <c r="A10" s="205"/>
      <c r="B10" s="206"/>
      <c r="C10" s="206"/>
      <c r="D10" s="207"/>
      <c r="E10" s="207"/>
      <c r="F10" s="208"/>
    </row>
    <row r="11" spans="1:6" ht="3" customHeight="1" x14ac:dyDescent="0.3">
      <c r="A11" s="198"/>
      <c r="B11" s="199"/>
      <c r="C11" s="199"/>
      <c r="D11" s="199"/>
      <c r="E11" s="199"/>
      <c r="F11" s="209"/>
    </row>
    <row r="12" spans="1:6" x14ac:dyDescent="0.3">
      <c r="A12" s="202" t="s">
        <v>86</v>
      </c>
      <c r="B12" s="196"/>
      <c r="C12" s="196"/>
      <c r="D12" s="196"/>
      <c r="E12" s="196"/>
      <c r="F12" s="210"/>
    </row>
    <row r="13" spans="1:6" ht="4.5" customHeight="1" x14ac:dyDescent="0.3">
      <c r="A13" s="202"/>
      <c r="B13" s="196"/>
      <c r="C13" s="196"/>
      <c r="D13" s="196"/>
      <c r="E13" s="196"/>
      <c r="F13" s="210"/>
    </row>
    <row r="14" spans="1:6" x14ac:dyDescent="0.3">
      <c r="A14" s="202"/>
      <c r="B14" s="211" t="s">
        <v>87</v>
      </c>
      <c r="C14" s="196"/>
      <c r="D14" s="196"/>
      <c r="E14" s="196"/>
      <c r="F14" s="210"/>
    </row>
    <row r="15" spans="1:6" ht="8.25" customHeight="1" thickBot="1" x14ac:dyDescent="0.35">
      <c r="A15" s="205"/>
      <c r="B15" s="207"/>
      <c r="C15" s="207"/>
      <c r="D15" s="207"/>
      <c r="E15" s="207"/>
      <c r="F15" s="212"/>
    </row>
    <row r="16" spans="1:6" x14ac:dyDescent="0.3">
      <c r="A16" s="198" t="s">
        <v>88</v>
      </c>
      <c r="B16" s="213"/>
      <c r="C16" s="214" t="s">
        <v>2</v>
      </c>
      <c r="D16" s="215" t="s">
        <v>89</v>
      </c>
      <c r="E16" s="199"/>
      <c r="F16" s="209"/>
    </row>
    <row r="17" spans="1:6" ht="21" customHeight="1" thickBot="1" x14ac:dyDescent="0.35">
      <c r="A17" s="205" t="s">
        <v>90</v>
      </c>
      <c r="B17" s="207"/>
      <c r="C17" s="216">
        <f>E8</f>
        <v>46116</v>
      </c>
      <c r="D17" s="217" t="s">
        <v>91</v>
      </c>
      <c r="E17" s="207"/>
      <c r="F17" s="212"/>
    </row>
    <row r="18" spans="1:6" ht="15" thickBot="1" x14ac:dyDescent="0.35">
      <c r="A18" s="218" t="s">
        <v>92</v>
      </c>
      <c r="B18" s="218" t="s">
        <v>93</v>
      </c>
      <c r="C18" s="218" t="s">
        <v>94</v>
      </c>
      <c r="D18" s="218" t="s">
        <v>95</v>
      </c>
      <c r="E18" s="219" t="s">
        <v>96</v>
      </c>
      <c r="F18" s="220" t="s">
        <v>19</v>
      </c>
    </row>
    <row r="19" spans="1:6" ht="16.2" thickBot="1" x14ac:dyDescent="0.35">
      <c r="A19" s="221">
        <v>1</v>
      </c>
      <c r="B19" s="222"/>
      <c r="C19" s="223"/>
      <c r="D19" s="222"/>
      <c r="E19" s="224"/>
      <c r="F19" s="225"/>
    </row>
    <row r="20" spans="1:6" ht="16.2" thickBot="1" x14ac:dyDescent="0.35">
      <c r="A20" s="221">
        <f t="shared" ref="A20:A39" si="0">A19+1</f>
        <v>2</v>
      </c>
      <c r="B20" s="222"/>
      <c r="C20" s="223"/>
      <c r="D20" s="222"/>
      <c r="E20" s="224"/>
      <c r="F20" s="225"/>
    </row>
    <row r="21" spans="1:6" ht="16.2" thickBot="1" x14ac:dyDescent="0.35">
      <c r="A21" s="221">
        <f t="shared" si="0"/>
        <v>3</v>
      </c>
      <c r="B21" s="222"/>
      <c r="C21" s="223"/>
      <c r="D21" s="226"/>
      <c r="E21" s="224"/>
      <c r="F21" s="225"/>
    </row>
    <row r="22" spans="1:6" ht="16.2" thickBot="1" x14ac:dyDescent="0.35">
      <c r="A22" s="221">
        <f t="shared" si="0"/>
        <v>4</v>
      </c>
      <c r="B22" s="227"/>
      <c r="C22" s="223"/>
      <c r="D22" s="227"/>
      <c r="E22" s="224"/>
      <c r="F22" s="225"/>
    </row>
    <row r="23" spans="1:6" ht="16.2" thickBot="1" x14ac:dyDescent="0.35">
      <c r="A23" s="221">
        <f t="shared" si="0"/>
        <v>5</v>
      </c>
      <c r="B23" s="226"/>
      <c r="C23" s="223"/>
      <c r="D23" s="226"/>
      <c r="E23" s="224"/>
      <c r="F23" s="225"/>
    </row>
    <row r="24" spans="1:6" ht="16.2" thickBot="1" x14ac:dyDescent="0.35">
      <c r="A24" s="221">
        <f t="shared" si="0"/>
        <v>6</v>
      </c>
      <c r="B24" s="226"/>
      <c r="C24" s="223"/>
      <c r="D24" s="226"/>
      <c r="E24" s="224"/>
      <c r="F24" s="225"/>
    </row>
    <row r="25" spans="1:6" ht="16.2" thickBot="1" x14ac:dyDescent="0.35">
      <c r="A25" s="221">
        <f t="shared" si="0"/>
        <v>7</v>
      </c>
      <c r="B25" s="226"/>
      <c r="C25" s="223"/>
      <c r="D25" s="226"/>
      <c r="E25" s="224"/>
      <c r="F25" s="225"/>
    </row>
    <row r="26" spans="1:6" ht="16.2" thickBot="1" x14ac:dyDescent="0.35">
      <c r="A26" s="221">
        <f t="shared" si="0"/>
        <v>8</v>
      </c>
      <c r="B26" s="226"/>
      <c r="C26" s="223"/>
      <c r="D26" s="226"/>
      <c r="E26" s="224"/>
      <c r="F26" s="225"/>
    </row>
    <row r="27" spans="1:6" ht="16.2" thickBot="1" x14ac:dyDescent="0.35">
      <c r="A27" s="221">
        <f t="shared" si="0"/>
        <v>9</v>
      </c>
      <c r="B27" s="226"/>
      <c r="C27" s="223"/>
      <c r="D27" s="226"/>
      <c r="E27" s="224"/>
      <c r="F27" s="225"/>
    </row>
    <row r="28" spans="1:6" ht="16.2" thickBot="1" x14ac:dyDescent="0.35">
      <c r="A28" s="221">
        <f t="shared" si="0"/>
        <v>10</v>
      </c>
      <c r="B28" s="223"/>
      <c r="C28" s="223"/>
      <c r="D28" s="223"/>
      <c r="E28" s="224"/>
      <c r="F28" s="225"/>
    </row>
    <row r="29" spans="1:6" ht="16.2" thickBot="1" x14ac:dyDescent="0.35">
      <c r="A29" s="221">
        <f t="shared" si="0"/>
        <v>11</v>
      </c>
      <c r="B29" s="223"/>
      <c r="C29" s="223"/>
      <c r="D29" s="223"/>
      <c r="E29" s="224"/>
      <c r="F29" s="225"/>
    </row>
    <row r="30" spans="1:6" ht="16.2" thickBot="1" x14ac:dyDescent="0.35">
      <c r="A30" s="221">
        <f t="shared" si="0"/>
        <v>12</v>
      </c>
      <c r="B30" s="223"/>
      <c r="C30" s="223"/>
      <c r="D30" s="223"/>
      <c r="E30" s="224"/>
      <c r="F30" s="225"/>
    </row>
    <row r="31" spans="1:6" ht="16.2" thickBot="1" x14ac:dyDescent="0.35">
      <c r="A31" s="221">
        <f t="shared" si="0"/>
        <v>13</v>
      </c>
      <c r="B31" s="223"/>
      <c r="C31" s="228"/>
      <c r="D31" s="223"/>
      <c r="E31" s="224"/>
      <c r="F31" s="225"/>
    </row>
    <row r="32" spans="1:6" ht="16.2" thickBot="1" x14ac:dyDescent="0.35">
      <c r="A32" s="221">
        <f t="shared" si="0"/>
        <v>14</v>
      </c>
      <c r="B32" s="223"/>
      <c r="C32" s="228"/>
      <c r="D32" s="223"/>
      <c r="E32" s="224"/>
      <c r="F32" s="225"/>
    </row>
    <row r="33" spans="1:6" ht="16.2" thickBot="1" x14ac:dyDescent="0.35">
      <c r="A33" s="221">
        <f t="shared" si="0"/>
        <v>15</v>
      </c>
      <c r="B33" s="223"/>
      <c r="C33" s="228"/>
      <c r="D33" s="223"/>
      <c r="E33" s="224"/>
      <c r="F33" s="225"/>
    </row>
    <row r="34" spans="1:6" ht="16.2" thickBot="1" x14ac:dyDescent="0.35">
      <c r="A34" s="221">
        <f t="shared" si="0"/>
        <v>16</v>
      </c>
      <c r="B34" s="223"/>
      <c r="C34" s="228"/>
      <c r="D34" s="223"/>
      <c r="E34" s="224"/>
      <c r="F34" s="225"/>
    </row>
    <row r="35" spans="1:6" ht="16.2" thickBot="1" x14ac:dyDescent="0.35">
      <c r="A35" s="221">
        <f t="shared" si="0"/>
        <v>17</v>
      </c>
      <c r="B35" s="223"/>
      <c r="C35" s="228"/>
      <c r="D35" s="223"/>
      <c r="E35" s="224"/>
      <c r="F35" s="225"/>
    </row>
    <row r="36" spans="1:6" ht="16.2" thickBot="1" x14ac:dyDescent="0.35">
      <c r="A36" s="221">
        <f t="shared" si="0"/>
        <v>18</v>
      </c>
      <c r="B36" s="223"/>
      <c r="C36" s="228"/>
      <c r="D36" s="223"/>
      <c r="E36" s="224"/>
      <c r="F36" s="225"/>
    </row>
    <row r="37" spans="1:6" ht="16.2" thickBot="1" x14ac:dyDescent="0.35">
      <c r="A37" s="221">
        <f t="shared" si="0"/>
        <v>19</v>
      </c>
      <c r="B37" s="223"/>
      <c r="C37" s="228"/>
      <c r="D37" s="223"/>
      <c r="E37" s="224"/>
      <c r="F37" s="225"/>
    </row>
    <row r="38" spans="1:6" ht="16.2" thickBot="1" x14ac:dyDescent="0.35">
      <c r="A38" s="221">
        <f t="shared" si="0"/>
        <v>20</v>
      </c>
      <c r="B38" s="223"/>
      <c r="C38" s="228"/>
      <c r="D38" s="223"/>
      <c r="E38" s="224"/>
      <c r="F38" s="225"/>
    </row>
    <row r="39" spans="1:6" ht="16.2" thickBot="1" x14ac:dyDescent="0.35">
      <c r="A39" s="221">
        <f t="shared" si="0"/>
        <v>21</v>
      </c>
      <c r="B39" s="223"/>
      <c r="C39" s="228"/>
      <c r="D39" s="223"/>
      <c r="E39" s="224"/>
      <c r="F39" s="225"/>
    </row>
    <row r="40" spans="1:6" ht="16.2" thickBot="1" x14ac:dyDescent="0.35">
      <c r="A40" s="221"/>
      <c r="B40" s="223"/>
      <c r="C40" s="228"/>
      <c r="D40" s="223"/>
      <c r="E40" s="224"/>
      <c r="F40" s="225"/>
    </row>
    <row r="41" spans="1:6" s="230" customFormat="1" ht="16.2" thickBot="1" x14ac:dyDescent="0.35">
      <c r="A41" s="589"/>
      <c r="B41" s="590"/>
      <c r="C41" s="590"/>
      <c r="D41" s="590"/>
      <c r="E41" s="591"/>
      <c r="F41" s="229">
        <f>SUM(F19:F40)</f>
        <v>0</v>
      </c>
    </row>
    <row r="42" spans="1:6" ht="20.25" customHeight="1" x14ac:dyDescent="0.3">
      <c r="A42" s="231"/>
      <c r="B42" s="232" t="s">
        <v>97</v>
      </c>
      <c r="C42" s="233"/>
      <c r="D42" s="233"/>
      <c r="E42" s="233"/>
      <c r="F42" s="234"/>
    </row>
    <row r="43" spans="1:6" x14ac:dyDescent="0.3">
      <c r="A43" s="235" t="s">
        <v>98</v>
      </c>
      <c r="B43" s="236"/>
      <c r="C43" s="236"/>
      <c r="D43" s="236"/>
      <c r="E43" s="236"/>
      <c r="F43" s="237"/>
    </row>
    <row r="44" spans="1:6" x14ac:dyDescent="0.3">
      <c r="A44" s="235"/>
      <c r="B44" s="236"/>
      <c r="C44" s="236"/>
      <c r="D44" s="236"/>
      <c r="E44" s="236"/>
      <c r="F44" s="237"/>
    </row>
    <row r="45" spans="1:6" x14ac:dyDescent="0.3">
      <c r="A45" s="235" t="s">
        <v>99</v>
      </c>
      <c r="B45" s="236"/>
      <c r="C45" s="236"/>
      <c r="D45" s="592" t="s">
        <v>100</v>
      </c>
      <c r="E45" s="592"/>
      <c r="F45" s="593"/>
    </row>
    <row r="46" spans="1:6" x14ac:dyDescent="0.3">
      <c r="A46" s="238"/>
      <c r="B46" s="236"/>
      <c r="C46" s="236"/>
      <c r="D46" s="584"/>
      <c r="E46" s="584"/>
      <c r="F46" s="585"/>
    </row>
    <row r="47" spans="1:6" x14ac:dyDescent="0.3">
      <c r="A47" s="578"/>
      <c r="B47" s="579"/>
      <c r="C47" s="579"/>
      <c r="D47" s="580" t="s">
        <v>25</v>
      </c>
      <c r="E47" s="580"/>
      <c r="F47" s="581"/>
    </row>
    <row r="48" spans="1:6" ht="12.75" customHeight="1" x14ac:dyDescent="0.3">
      <c r="A48" s="582" t="s">
        <v>101</v>
      </c>
      <c r="B48" s="583"/>
      <c r="C48" s="583"/>
      <c r="D48" s="584" t="s">
        <v>26</v>
      </c>
      <c r="E48" s="584"/>
      <c r="F48" s="585"/>
    </row>
    <row r="49" spans="1:6" ht="9.75" customHeight="1" x14ac:dyDescent="0.3">
      <c r="A49" s="238"/>
      <c r="B49" s="241"/>
      <c r="C49" s="241"/>
      <c r="D49" s="227"/>
      <c r="E49" s="227"/>
      <c r="F49" s="239"/>
    </row>
    <row r="50" spans="1:6" ht="9.75" customHeight="1" x14ac:dyDescent="0.3">
      <c r="A50" s="238"/>
      <c r="B50" s="241"/>
      <c r="C50" s="241"/>
      <c r="D50" s="227"/>
      <c r="E50" s="227"/>
      <c r="F50" s="239"/>
    </row>
    <row r="51" spans="1:6" ht="15.75" hidden="1" customHeight="1" x14ac:dyDescent="0.3">
      <c r="A51" s="238"/>
      <c r="B51" s="240"/>
      <c r="C51" s="240"/>
      <c r="D51" s="584"/>
      <c r="E51" s="584"/>
      <c r="F51" s="585"/>
    </row>
    <row r="52" spans="1:6" ht="9.75" hidden="1" customHeight="1" x14ac:dyDescent="0.3">
      <c r="A52" s="238"/>
      <c r="B52" s="240"/>
      <c r="C52" s="240"/>
      <c r="D52" s="584"/>
      <c r="E52" s="584"/>
      <c r="F52" s="585"/>
    </row>
    <row r="53" spans="1:6" ht="9.75" hidden="1" customHeight="1" x14ac:dyDescent="0.3">
      <c r="A53" s="238"/>
      <c r="B53" s="240"/>
      <c r="C53" s="240"/>
      <c r="D53" s="236"/>
      <c r="E53" s="236"/>
      <c r="F53" s="237"/>
    </row>
    <row r="54" spans="1:6" hidden="1" x14ac:dyDescent="0.3">
      <c r="A54" s="242"/>
      <c r="B54" s="243"/>
      <c r="C54" s="243"/>
      <c r="D54" s="572"/>
      <c r="E54" s="572"/>
      <c r="F54" s="573"/>
    </row>
    <row r="55" spans="1:6" ht="7.5" customHeight="1" thickBot="1" x14ac:dyDescent="0.35">
      <c r="A55" s="244"/>
      <c r="B55" s="245"/>
      <c r="C55" s="245"/>
      <c r="D55" s="245"/>
      <c r="E55" s="246"/>
      <c r="F55" s="247"/>
    </row>
    <row r="56" spans="1:6" x14ac:dyDescent="0.3">
      <c r="A56" s="248" t="s">
        <v>102</v>
      </c>
      <c r="B56" s="232"/>
      <c r="C56" s="234"/>
      <c r="D56" s="233" t="s">
        <v>103</v>
      </c>
      <c r="E56" s="233"/>
      <c r="F56" s="249"/>
    </row>
    <row r="57" spans="1:6" x14ac:dyDescent="0.3">
      <c r="A57" s="235" t="s">
        <v>104</v>
      </c>
      <c r="B57" s="236"/>
      <c r="C57" s="237"/>
      <c r="D57" s="236" t="s">
        <v>105</v>
      </c>
      <c r="E57" s="236"/>
      <c r="F57" s="250" t="s">
        <v>108</v>
      </c>
    </row>
    <row r="58" spans="1:6" ht="16.5" customHeight="1" x14ac:dyDescent="0.3">
      <c r="A58" s="235"/>
      <c r="B58" s="236"/>
      <c r="C58" s="237"/>
      <c r="D58" s="236"/>
      <c r="E58" s="236"/>
      <c r="F58" s="250"/>
    </row>
    <row r="59" spans="1:6" ht="17.399999999999999" x14ac:dyDescent="0.55000000000000004">
      <c r="A59" s="238"/>
      <c r="B59" s="574" t="s">
        <v>59</v>
      </c>
      <c r="C59" s="575"/>
      <c r="D59" s="236" t="s">
        <v>106</v>
      </c>
      <c r="E59" s="236"/>
      <c r="F59" s="252">
        <f>F41</f>
        <v>0</v>
      </c>
    </row>
    <row r="60" spans="1:6" ht="16.5" customHeight="1" x14ac:dyDescent="0.55000000000000004">
      <c r="A60" s="238"/>
      <c r="B60" s="576" t="s">
        <v>107</v>
      </c>
      <c r="C60" s="577"/>
      <c r="D60" s="236"/>
      <c r="E60" s="236"/>
      <c r="F60" s="253"/>
    </row>
    <row r="61" spans="1:6" x14ac:dyDescent="0.3">
      <c r="A61" s="238"/>
      <c r="B61" s="576"/>
      <c r="C61" s="577"/>
      <c r="D61" s="236"/>
      <c r="E61" s="236"/>
      <c r="F61" s="237"/>
    </row>
    <row r="62" spans="1:6" ht="6.75" customHeight="1" thickBot="1" x14ac:dyDescent="0.35">
      <c r="A62" s="244"/>
      <c r="B62" s="245"/>
      <c r="C62" s="247"/>
      <c r="D62" s="245"/>
      <c r="E62" s="245"/>
      <c r="F62" s="247"/>
    </row>
    <row r="63" spans="1:6" x14ac:dyDescent="0.3">
      <c r="A63" s="196"/>
      <c r="B63" s="196"/>
      <c r="C63" s="196"/>
      <c r="D63" s="196"/>
      <c r="E63" s="196"/>
      <c r="F63" s="196"/>
    </row>
  </sheetData>
  <mergeCells count="21">
    <mergeCell ref="D46:F46"/>
    <mergeCell ref="A1:D1"/>
    <mergeCell ref="E1:F1"/>
    <mergeCell ref="A2:F2"/>
    <mergeCell ref="A4:F4"/>
    <mergeCell ref="A5:F5"/>
    <mergeCell ref="B7:C7"/>
    <mergeCell ref="B8:C8"/>
    <mergeCell ref="B9:C9"/>
    <mergeCell ref="D9:F9"/>
    <mergeCell ref="A41:E41"/>
    <mergeCell ref="D45:F45"/>
    <mergeCell ref="D54:F54"/>
    <mergeCell ref="B59:C59"/>
    <mergeCell ref="B60:C61"/>
    <mergeCell ref="A47:C47"/>
    <mergeCell ref="D47:F47"/>
    <mergeCell ref="A48:C48"/>
    <mergeCell ref="D48:F48"/>
    <mergeCell ref="D51:F51"/>
    <mergeCell ref="D52:F52"/>
  </mergeCells>
  <printOptions horizontalCentered="1"/>
  <pageMargins left="0.31496062992126" right="0.31496062992126" top="0.511811023622047" bottom="0.511811023622047" header="0.31496062992126" footer="0.31496062992126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D676-D076-465D-8F40-5C15E7D2B045}">
  <sheetPr>
    <tabColor rgb="FFFFFF00"/>
  </sheetPr>
  <dimension ref="A1:H48"/>
  <sheetViews>
    <sheetView view="pageBreakPreview" topLeftCell="A16" zoomScale="85" zoomScaleNormal="100" zoomScaleSheetLayoutView="85" workbookViewId="0">
      <selection activeCell="D44" sqref="D44"/>
    </sheetView>
  </sheetViews>
  <sheetFormatPr defaultColWidth="9.109375" defaultRowHeight="13.8" x14ac:dyDescent="0.3"/>
  <cols>
    <col min="1" max="1" width="5.33203125" style="254" customWidth="1"/>
    <col min="2" max="2" width="9.88671875" style="254" customWidth="1"/>
    <col min="3" max="3" width="8.6640625" style="254" customWidth="1"/>
    <col min="4" max="4" width="41.6640625" style="254" customWidth="1"/>
    <col min="5" max="5" width="4.5546875" style="254" customWidth="1"/>
    <col min="6" max="6" width="7.33203125" style="254" customWidth="1"/>
    <col min="7" max="7" width="16.109375" style="254" customWidth="1"/>
    <col min="8" max="8" width="7.44140625" style="254" customWidth="1"/>
    <col min="9" max="16384" width="9.109375" style="254"/>
  </cols>
  <sheetData>
    <row r="1" spans="1:8" x14ac:dyDescent="0.3">
      <c r="A1" s="619" t="s">
        <v>0</v>
      </c>
      <c r="B1" s="620"/>
      <c r="C1" s="620"/>
      <c r="D1" s="620"/>
      <c r="E1" s="620"/>
      <c r="F1" s="620"/>
      <c r="G1" s="621"/>
    </row>
    <row r="2" spans="1:8" x14ac:dyDescent="0.3">
      <c r="A2" s="622" t="s">
        <v>109</v>
      </c>
      <c r="B2" s="600"/>
      <c r="C2" s="600"/>
      <c r="D2" s="600"/>
      <c r="E2" s="600"/>
      <c r="F2" s="600"/>
      <c r="G2" s="601"/>
    </row>
    <row r="3" spans="1:8" x14ac:dyDescent="0.3">
      <c r="A3" s="622" t="s">
        <v>110</v>
      </c>
      <c r="B3" s="600"/>
      <c r="C3" s="600"/>
      <c r="D3" s="600"/>
      <c r="E3" s="600"/>
      <c r="F3" s="600"/>
      <c r="G3" s="601"/>
    </row>
    <row r="4" spans="1:8" ht="14.4" x14ac:dyDescent="0.3">
      <c r="A4" s="623" t="s">
        <v>2</v>
      </c>
      <c r="B4" s="624"/>
      <c r="C4" s="624"/>
      <c r="D4" s="624"/>
      <c r="E4" s="624"/>
      <c r="F4" s="624"/>
      <c r="G4" s="625"/>
      <c r="H4" s="257"/>
    </row>
    <row r="5" spans="1:8" x14ac:dyDescent="0.3">
      <c r="A5" s="622" t="s">
        <v>111</v>
      </c>
      <c r="B5" s="600"/>
      <c r="C5" s="600"/>
      <c r="D5" s="600"/>
      <c r="E5" s="600"/>
      <c r="F5" s="600"/>
      <c r="G5" s="601"/>
    </row>
    <row r="6" spans="1:8" ht="9.75" customHeight="1" x14ac:dyDescent="0.3">
      <c r="A6" s="258"/>
      <c r="G6" s="259"/>
    </row>
    <row r="7" spans="1:8" ht="15" thickBot="1" x14ac:dyDescent="0.35">
      <c r="A7" s="626" t="s">
        <v>112</v>
      </c>
      <c r="B7" s="627"/>
      <c r="C7" s="627"/>
      <c r="D7" s="627"/>
      <c r="E7" s="627"/>
      <c r="F7" s="627"/>
      <c r="G7" s="628"/>
      <c r="H7" s="260"/>
    </row>
    <row r="8" spans="1:8" ht="26.55" customHeight="1" x14ac:dyDescent="0.3">
      <c r="A8" s="261" t="s">
        <v>113</v>
      </c>
      <c r="B8" s="262"/>
      <c r="C8" s="615" t="s">
        <v>114</v>
      </c>
      <c r="D8" s="615"/>
      <c r="E8" s="608" t="s">
        <v>115</v>
      </c>
      <c r="F8" s="608"/>
      <c r="G8" s="263">
        <v>46052</v>
      </c>
    </row>
    <row r="9" spans="1:8" ht="22.5" customHeight="1" x14ac:dyDescent="0.3">
      <c r="A9" s="264" t="s">
        <v>83</v>
      </c>
      <c r="B9" s="265"/>
      <c r="C9" s="616" t="s">
        <v>15</v>
      </c>
      <c r="D9" s="616"/>
      <c r="E9" s="617"/>
      <c r="F9" s="617"/>
      <c r="G9" s="266"/>
    </row>
    <row r="10" spans="1:8" ht="27.6" x14ac:dyDescent="0.3">
      <c r="A10" s="267" t="s">
        <v>116</v>
      </c>
      <c r="B10" s="268" t="s">
        <v>117</v>
      </c>
      <c r="C10" s="268" t="s">
        <v>118</v>
      </c>
      <c r="D10" s="269" t="s">
        <v>119</v>
      </c>
      <c r="E10" s="618" t="s">
        <v>120</v>
      </c>
      <c r="F10" s="618"/>
      <c r="G10" s="270" t="s">
        <v>121</v>
      </c>
      <c r="H10" s="271"/>
    </row>
    <row r="11" spans="1:8" ht="14.4" x14ac:dyDescent="0.3">
      <c r="A11" s="272">
        <v>1</v>
      </c>
      <c r="B11" s="273">
        <f>'[2]PR-A&amp;m'!E11</f>
        <v>2</v>
      </c>
      <c r="C11" s="274" t="str">
        <f>'[2]PR-A&amp;m'!C11</f>
        <v>ream</v>
      </c>
      <c r="D11" s="275" t="str">
        <f>'[2]PR-A&amp;m'!D11</f>
        <v>PVC cover</v>
      </c>
      <c r="E11" s="614"/>
      <c r="F11" s="614"/>
      <c r="G11" s="276"/>
      <c r="H11" s="187"/>
    </row>
    <row r="12" spans="1:8" ht="14.4" x14ac:dyDescent="0.3">
      <c r="A12" s="272">
        <v>2</v>
      </c>
      <c r="B12" s="273">
        <f>'[2]PR-A&amp;m'!E12</f>
        <v>1</v>
      </c>
      <c r="C12" s="274" t="str">
        <f>'[2]PR-A&amp;m'!C12</f>
        <v>ream</v>
      </c>
      <c r="D12" s="275" t="str">
        <f>'[2]PR-A&amp;m'!D12</f>
        <v>Vellum board</v>
      </c>
      <c r="E12" s="614"/>
      <c r="F12" s="614"/>
      <c r="G12" s="276"/>
      <c r="H12" s="187"/>
    </row>
    <row r="13" spans="1:8" ht="14.4" x14ac:dyDescent="0.3">
      <c r="A13" s="272">
        <v>3</v>
      </c>
      <c r="B13" s="273">
        <f>'[2]PR-A&amp;m'!E13</f>
        <v>2</v>
      </c>
      <c r="C13" s="274" t="str">
        <f>'[2]PR-A&amp;m'!C13</f>
        <v>pcs</v>
      </c>
      <c r="D13" s="275" t="str">
        <f>'[2]PR-A&amp;m'!D13</f>
        <v>Logbook</v>
      </c>
      <c r="E13" s="614"/>
      <c r="F13" s="614"/>
      <c r="G13" s="277"/>
    </row>
    <row r="14" spans="1:8" ht="14.4" x14ac:dyDescent="0.3">
      <c r="A14" s="272">
        <v>4</v>
      </c>
      <c r="B14" s="273">
        <f>'[2]PR-A&amp;m'!E14</f>
        <v>4</v>
      </c>
      <c r="C14" s="274" t="str">
        <f>'[2]PR-A&amp;m'!C14</f>
        <v>roll</v>
      </c>
      <c r="D14" s="275" t="str">
        <f>'[2]PR-A&amp;m'!D14</f>
        <v>Duct Tape</v>
      </c>
      <c r="E14" s="614"/>
      <c r="F14" s="614"/>
      <c r="G14" s="277"/>
    </row>
    <row r="15" spans="1:8" ht="14.4" x14ac:dyDescent="0.3">
      <c r="A15" s="272">
        <v>5</v>
      </c>
      <c r="B15" s="273">
        <f>'[2]PR-A&amp;m'!E15</f>
        <v>1</v>
      </c>
      <c r="C15" s="274" t="str">
        <f>'[2]PR-A&amp;m'!C15</f>
        <v>box</v>
      </c>
      <c r="D15" s="275" t="str">
        <f>'[2]PR-A&amp;m'!D15</f>
        <v>Paper clip (L)</v>
      </c>
      <c r="E15" s="613"/>
      <c r="F15" s="613"/>
      <c r="G15" s="277"/>
    </row>
    <row r="16" spans="1:8" ht="14.4" x14ac:dyDescent="0.3">
      <c r="A16" s="272">
        <v>6</v>
      </c>
      <c r="B16" s="273">
        <f>'[2]PR-A&amp;m'!E16</f>
        <v>1</v>
      </c>
      <c r="C16" s="274" t="str">
        <f>'[2]PR-A&amp;m'!C16</f>
        <v>box</v>
      </c>
      <c r="D16" s="275" t="str">
        <f>'[2]PR-A&amp;m'!D16</f>
        <v>Paper clip (S)</v>
      </c>
      <c r="E16" s="613"/>
      <c r="F16" s="613"/>
      <c r="G16" s="277"/>
    </row>
    <row r="17" spans="1:7" ht="14.4" x14ac:dyDescent="0.3">
      <c r="A17" s="272">
        <v>7</v>
      </c>
      <c r="B17" s="273" t="e">
        <f>'[2]PR-A&amp;m'!#REF!</f>
        <v>#REF!</v>
      </c>
      <c r="C17" s="274" t="e">
        <f>'[2]PR-A&amp;m'!#REF!</f>
        <v>#REF!</v>
      </c>
      <c r="D17" s="275" t="e">
        <f>'[2]PR-A&amp;m'!#REF!</f>
        <v>#REF!</v>
      </c>
      <c r="E17" s="613"/>
      <c r="F17" s="613"/>
      <c r="G17" s="277"/>
    </row>
    <row r="18" spans="1:7" ht="14.4" x14ac:dyDescent="0.3">
      <c r="A18" s="272">
        <v>8</v>
      </c>
      <c r="B18" s="273" t="e">
        <f>'[2]PR-A&amp;m'!#REF!</f>
        <v>#REF!</v>
      </c>
      <c r="C18" s="274" t="e">
        <f>'[2]PR-A&amp;m'!#REF!</f>
        <v>#REF!</v>
      </c>
      <c r="D18" s="275" t="e">
        <f>'[2]PR-A&amp;m'!#REF!</f>
        <v>#REF!</v>
      </c>
      <c r="E18" s="613"/>
      <c r="F18" s="613"/>
      <c r="G18" s="277"/>
    </row>
    <row r="19" spans="1:7" ht="14.4" x14ac:dyDescent="0.3">
      <c r="A19" s="272">
        <v>9</v>
      </c>
      <c r="B19" s="273" t="e">
        <f>'[2]PR-A&amp;m'!#REF!</f>
        <v>#REF!</v>
      </c>
      <c r="C19" s="274" t="e">
        <f>'[2]PR-A&amp;m'!#REF!</f>
        <v>#REF!</v>
      </c>
      <c r="D19" s="275" t="e">
        <f>'[2]PR-A&amp;m'!#REF!</f>
        <v>#REF!</v>
      </c>
      <c r="E19" s="602"/>
      <c r="F19" s="602"/>
      <c r="G19" s="279"/>
    </row>
    <row r="20" spans="1:7" ht="14.4" x14ac:dyDescent="0.3">
      <c r="A20" s="272">
        <v>10</v>
      </c>
      <c r="B20" s="273" t="e">
        <f>'[2]PR-A&amp;m'!#REF!</f>
        <v>#REF!</v>
      </c>
      <c r="C20" s="274" t="e">
        <f>'[2]PR-A&amp;m'!#REF!</f>
        <v>#REF!</v>
      </c>
      <c r="D20" s="275" t="e">
        <f>'[2]PR-A&amp;m'!#REF!</f>
        <v>#REF!</v>
      </c>
      <c r="E20" s="602"/>
      <c r="F20" s="602"/>
      <c r="G20" s="279"/>
    </row>
    <row r="21" spans="1:7" ht="14.4" x14ac:dyDescent="0.3">
      <c r="A21" s="272">
        <v>11</v>
      </c>
      <c r="B21" s="273" t="e">
        <f>'[2]PR-A&amp;m'!#REF!</f>
        <v>#REF!</v>
      </c>
      <c r="C21" s="274" t="e">
        <f>'[2]PR-A&amp;m'!#REF!</f>
        <v>#REF!</v>
      </c>
      <c r="D21" s="275" t="e">
        <f>'[2]PR-A&amp;m'!#REF!</f>
        <v>#REF!</v>
      </c>
      <c r="E21" s="602"/>
      <c r="F21" s="602"/>
      <c r="G21" s="279"/>
    </row>
    <row r="22" spans="1:7" ht="14.4" x14ac:dyDescent="0.3">
      <c r="A22" s="272"/>
      <c r="B22" s="280"/>
      <c r="C22" s="281"/>
      <c r="D22" s="282"/>
      <c r="E22" s="602"/>
      <c r="F22" s="602"/>
      <c r="G22" s="279"/>
    </row>
    <row r="23" spans="1:7" ht="14.4" x14ac:dyDescent="0.3">
      <c r="A23" s="272"/>
      <c r="B23" s="280"/>
      <c r="C23" s="281"/>
      <c r="D23" s="282"/>
      <c r="E23" s="602"/>
      <c r="F23" s="602"/>
      <c r="G23" s="279"/>
    </row>
    <row r="24" spans="1:7" ht="14.4" x14ac:dyDescent="0.3">
      <c r="A24" s="272"/>
      <c r="B24" s="280"/>
      <c r="C24" s="281"/>
      <c r="D24" s="282"/>
      <c r="E24" s="602"/>
      <c r="F24" s="602"/>
      <c r="G24" s="279"/>
    </row>
    <row r="25" spans="1:7" ht="14.4" x14ac:dyDescent="0.3">
      <c r="A25" s="272"/>
      <c r="B25" s="280"/>
      <c r="C25" s="281"/>
      <c r="D25" s="282"/>
      <c r="E25" s="602"/>
      <c r="F25" s="602"/>
      <c r="G25" s="279"/>
    </row>
    <row r="26" spans="1:7" ht="14.4" x14ac:dyDescent="0.3">
      <c r="A26" s="272"/>
      <c r="B26" s="280"/>
      <c r="C26" s="281"/>
      <c r="D26" s="282"/>
      <c r="E26" s="602"/>
      <c r="F26" s="602"/>
      <c r="G26" s="279"/>
    </row>
    <row r="27" spans="1:7" ht="14.4" x14ac:dyDescent="0.3">
      <c r="A27" s="272"/>
      <c r="B27" s="280"/>
      <c r="C27" s="281"/>
      <c r="D27" s="282"/>
      <c r="E27" s="602"/>
      <c r="F27" s="602"/>
      <c r="G27" s="279"/>
    </row>
    <row r="28" spans="1:7" s="284" customFormat="1" ht="14.4" x14ac:dyDescent="0.3">
      <c r="A28" s="283"/>
      <c r="B28" s="280"/>
      <c r="C28" s="281"/>
      <c r="D28" s="282"/>
      <c r="E28" s="602"/>
      <c r="F28" s="602"/>
      <c r="G28" s="279"/>
    </row>
    <row r="29" spans="1:7" ht="14.4" x14ac:dyDescent="0.3">
      <c r="A29" s="272"/>
      <c r="B29" s="280"/>
      <c r="C29" s="281"/>
      <c r="D29" s="282"/>
      <c r="E29" s="602"/>
      <c r="F29" s="602"/>
      <c r="G29" s="279"/>
    </row>
    <row r="30" spans="1:7" ht="14.4" x14ac:dyDescent="0.3">
      <c r="A30" s="283"/>
      <c r="B30" s="280"/>
      <c r="C30" s="281"/>
      <c r="D30" s="282"/>
      <c r="E30" s="602"/>
      <c r="F30" s="602"/>
      <c r="G30" s="279"/>
    </row>
    <row r="31" spans="1:7" ht="14.4" x14ac:dyDescent="0.3">
      <c r="A31" s="283"/>
      <c r="B31" s="280"/>
      <c r="C31" s="281"/>
      <c r="D31" s="282"/>
      <c r="E31" s="602"/>
      <c r="F31" s="602"/>
      <c r="G31" s="279"/>
    </row>
    <row r="32" spans="1:7" ht="14.4" x14ac:dyDescent="0.3">
      <c r="A32" s="283"/>
      <c r="B32" s="280"/>
      <c r="C32" s="281"/>
      <c r="D32" s="282"/>
      <c r="E32" s="602"/>
      <c r="F32" s="602"/>
      <c r="G32" s="279"/>
    </row>
    <row r="33" spans="1:8" ht="14.4" x14ac:dyDescent="0.3">
      <c r="A33" s="272"/>
      <c r="B33" s="280"/>
      <c r="C33" s="281"/>
      <c r="D33" s="282"/>
      <c r="E33" s="602"/>
      <c r="F33" s="602"/>
      <c r="G33" s="279"/>
    </row>
    <row r="34" spans="1:8" ht="14.4" x14ac:dyDescent="0.3">
      <c r="A34" s="272"/>
      <c r="B34" s="280"/>
      <c r="C34" s="281"/>
      <c r="D34" s="282"/>
      <c r="E34" s="602"/>
      <c r="F34" s="602"/>
      <c r="G34" s="279"/>
    </row>
    <row r="35" spans="1:8" ht="14.4" x14ac:dyDescent="0.3">
      <c r="A35" s="272"/>
      <c r="B35" s="280"/>
      <c r="C35" s="281"/>
      <c r="D35" s="282"/>
      <c r="E35" s="602"/>
      <c r="F35" s="602"/>
      <c r="G35" s="279"/>
    </row>
    <row r="36" spans="1:8" ht="14.4" x14ac:dyDescent="0.3">
      <c r="A36" s="272"/>
      <c r="B36" s="285"/>
      <c r="C36" s="285"/>
      <c r="D36" s="286"/>
      <c r="E36" s="602"/>
      <c r="F36" s="602"/>
      <c r="G36" s="279"/>
    </row>
    <row r="37" spans="1:8" x14ac:dyDescent="0.3">
      <c r="A37" s="272"/>
      <c r="B37" s="278"/>
      <c r="C37" s="287" t="s">
        <v>21</v>
      </c>
      <c r="D37" s="278"/>
      <c r="E37" s="603"/>
      <c r="F37" s="604"/>
      <c r="G37" s="288">
        <f>SUM(G11:G21)</f>
        <v>0</v>
      </c>
    </row>
    <row r="38" spans="1:8" x14ac:dyDescent="0.3">
      <c r="A38" s="258"/>
      <c r="B38" s="254" t="s">
        <v>122</v>
      </c>
      <c r="G38" s="259"/>
    </row>
    <row r="39" spans="1:8" x14ac:dyDescent="0.3">
      <c r="A39" s="258"/>
      <c r="G39" s="259"/>
    </row>
    <row r="40" spans="1:8" x14ac:dyDescent="0.3">
      <c r="A40" s="258"/>
      <c r="G40" s="259"/>
    </row>
    <row r="41" spans="1:8" x14ac:dyDescent="0.3">
      <c r="A41" s="605" t="str">
        <f>C8</f>
        <v>GOLDEN RIBBON</v>
      </c>
      <c r="B41" s="606"/>
      <c r="C41" s="606"/>
      <c r="D41" s="606"/>
      <c r="G41" s="259"/>
    </row>
    <row r="42" spans="1:8" x14ac:dyDescent="0.3">
      <c r="A42" s="607" t="s">
        <v>123</v>
      </c>
      <c r="B42" s="608"/>
      <c r="C42" s="608"/>
      <c r="D42" s="608"/>
      <c r="E42" s="255"/>
      <c r="F42" s="255"/>
      <c r="G42" s="256"/>
    </row>
    <row r="43" spans="1:8" x14ac:dyDescent="0.3">
      <c r="A43" s="258"/>
      <c r="E43" s="254" t="s">
        <v>100</v>
      </c>
      <c r="F43" s="255"/>
      <c r="G43" s="256"/>
    </row>
    <row r="44" spans="1:8" x14ac:dyDescent="0.3">
      <c r="A44" s="258"/>
      <c r="G44" s="259"/>
    </row>
    <row r="45" spans="1:8" x14ac:dyDescent="0.3">
      <c r="A45" s="258"/>
      <c r="D45" s="289"/>
      <c r="G45" s="259"/>
      <c r="H45" s="257"/>
    </row>
    <row r="46" spans="1:8" ht="15.6" x14ac:dyDescent="0.3">
      <c r="A46" s="609" t="s">
        <v>124</v>
      </c>
      <c r="B46" s="610"/>
      <c r="E46" s="611" t="s">
        <v>25</v>
      </c>
      <c r="F46" s="611"/>
      <c r="G46" s="612"/>
      <c r="H46" s="290"/>
    </row>
    <row r="47" spans="1:8" x14ac:dyDescent="0.3">
      <c r="A47" s="258"/>
      <c r="C47" s="599" t="s">
        <v>125</v>
      </c>
      <c r="D47" s="599"/>
      <c r="E47" s="600" t="s">
        <v>26</v>
      </c>
      <c r="F47" s="600"/>
      <c r="G47" s="601"/>
    </row>
    <row r="48" spans="1:8" ht="14.4" thickBot="1" x14ac:dyDescent="0.35">
      <c r="A48" s="291"/>
      <c r="B48" s="292"/>
      <c r="C48" s="292" t="s">
        <v>126</v>
      </c>
      <c r="D48" s="293"/>
      <c r="E48" s="293"/>
      <c r="F48" s="293"/>
      <c r="G48" s="294"/>
      <c r="H48" s="295"/>
    </row>
  </sheetData>
  <mergeCells count="44">
    <mergeCell ref="E11:F11"/>
    <mergeCell ref="A1:G1"/>
    <mergeCell ref="A2:G2"/>
    <mergeCell ref="A3:G3"/>
    <mergeCell ref="A4:G4"/>
    <mergeCell ref="A5:G5"/>
    <mergeCell ref="A7:G7"/>
    <mergeCell ref="C8:D8"/>
    <mergeCell ref="E8:F8"/>
    <mergeCell ref="C9:D9"/>
    <mergeCell ref="E9:F9"/>
    <mergeCell ref="E10:F10"/>
    <mergeCell ref="E23:F23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35:F35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C47:D47"/>
    <mergeCell ref="E47:G47"/>
    <mergeCell ref="E36:F36"/>
    <mergeCell ref="E37:F37"/>
    <mergeCell ref="A41:D41"/>
    <mergeCell ref="A42:D42"/>
    <mergeCell ref="A46:B46"/>
    <mergeCell ref="E46:G46"/>
  </mergeCells>
  <pageMargins left="0.45" right="0.19" top="1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A8AF-D7D7-4E5B-B877-A166171B69FD}">
  <sheetPr>
    <tabColor rgb="FF00B050"/>
  </sheetPr>
  <dimension ref="A1:J40"/>
  <sheetViews>
    <sheetView tabSelected="1" view="pageBreakPreview" topLeftCell="A7" zoomScale="101" zoomScaleNormal="100" workbookViewId="0">
      <selection activeCell="F18" sqref="F18"/>
    </sheetView>
  </sheetViews>
  <sheetFormatPr defaultColWidth="8.77734375" defaultRowHeight="14.4" x14ac:dyDescent="0.3"/>
  <cols>
    <col min="1" max="1" width="12" style="296" customWidth="1"/>
    <col min="2" max="2" width="4.109375" style="296" hidden="1" customWidth="1"/>
    <col min="3" max="3" width="8" style="296" customWidth="1"/>
    <col min="4" max="4" width="23.6640625" style="296" customWidth="1"/>
    <col min="5" max="5" width="9.6640625" style="296" customWidth="1"/>
    <col min="6" max="6" width="10.88671875" style="195" customWidth="1"/>
    <col min="7" max="7" width="14.6640625" style="195" customWidth="1"/>
    <col min="8" max="16384" width="8.77734375" style="296"/>
  </cols>
  <sheetData>
    <row r="1" spans="1:10" x14ac:dyDescent="0.3">
      <c r="A1" s="236"/>
      <c r="B1" s="236"/>
      <c r="C1" s="236"/>
      <c r="D1" s="236"/>
      <c r="E1" s="236"/>
      <c r="F1" s="595" t="s">
        <v>127</v>
      </c>
      <c r="G1" s="595"/>
    </row>
    <row r="2" spans="1:10" ht="15.6" x14ac:dyDescent="0.3">
      <c r="A2" s="640" t="s">
        <v>128</v>
      </c>
      <c r="B2" s="640"/>
      <c r="C2" s="640"/>
      <c r="D2" s="640"/>
      <c r="E2" s="640"/>
      <c r="F2" s="596"/>
      <c r="G2" s="596"/>
    </row>
    <row r="3" spans="1:10" ht="6" customHeight="1" x14ac:dyDescent="0.3">
      <c r="A3" s="297"/>
      <c r="B3" s="297"/>
      <c r="C3" s="297"/>
      <c r="D3" s="297"/>
      <c r="E3" s="297"/>
      <c r="F3" s="298"/>
      <c r="G3" s="298"/>
    </row>
    <row r="4" spans="1:10" x14ac:dyDescent="0.3">
      <c r="A4" s="236" t="s">
        <v>129</v>
      </c>
      <c r="B4" s="251"/>
      <c r="C4" s="251"/>
      <c r="D4" s="251"/>
      <c r="E4" s="251"/>
      <c r="F4" s="299" t="s">
        <v>130</v>
      </c>
      <c r="G4" s="197" t="s">
        <v>131</v>
      </c>
    </row>
    <row r="5" spans="1:10" ht="6" customHeight="1" thickBot="1" x14ac:dyDescent="0.35">
      <c r="A5" s="236"/>
      <c r="B5" s="236"/>
      <c r="C5" s="236"/>
      <c r="D5" s="236"/>
      <c r="E5" s="236"/>
      <c r="F5" s="196"/>
      <c r="G5" s="196"/>
    </row>
    <row r="6" spans="1:10" ht="6" customHeight="1" x14ac:dyDescent="0.3">
      <c r="A6" s="231"/>
      <c r="B6" s="233"/>
      <c r="C6" s="233"/>
      <c r="D6" s="231"/>
      <c r="E6" s="233"/>
      <c r="F6" s="209"/>
      <c r="G6" s="209"/>
    </row>
    <row r="7" spans="1:10" x14ac:dyDescent="0.3">
      <c r="A7" s="238" t="s">
        <v>132</v>
      </c>
      <c r="B7" s="236"/>
      <c r="C7" s="236"/>
      <c r="D7" s="238" t="s">
        <v>133</v>
      </c>
      <c r="E7" s="641" t="str">
        <f>'[2]RIS-A&amp;M'!G6</f>
        <v>2026-10</v>
      </c>
      <c r="F7" s="642"/>
      <c r="G7" s="300" t="s">
        <v>13</v>
      </c>
    </row>
    <row r="8" spans="1:10" x14ac:dyDescent="0.3">
      <c r="A8" s="643" t="s">
        <v>134</v>
      </c>
      <c r="B8" s="583"/>
      <c r="C8" s="644"/>
      <c r="D8" s="238" t="s">
        <v>135</v>
      </c>
      <c r="E8" s="301"/>
      <c r="F8" s="302"/>
      <c r="G8" s="303">
        <v>46301</v>
      </c>
    </row>
    <row r="9" spans="1:10" ht="6.75" customHeight="1" thickBot="1" x14ac:dyDescent="0.35">
      <c r="A9" s="238"/>
      <c r="B9" s="236"/>
      <c r="C9" s="236"/>
      <c r="D9" s="238"/>
      <c r="E9" s="236"/>
      <c r="F9" s="210"/>
      <c r="G9" s="210"/>
    </row>
    <row r="10" spans="1:10" ht="28.8" thickBot="1" x14ac:dyDescent="0.35">
      <c r="A10" s="304" t="s">
        <v>136</v>
      </c>
      <c r="B10" s="305"/>
      <c r="C10" s="306" t="s">
        <v>93</v>
      </c>
      <c r="D10" s="307" t="s">
        <v>137</v>
      </c>
      <c r="E10" s="306" t="s">
        <v>95</v>
      </c>
      <c r="F10" s="308" t="s">
        <v>138</v>
      </c>
      <c r="G10" s="309" t="s">
        <v>139</v>
      </c>
    </row>
    <row r="11" spans="1:10" x14ac:dyDescent="0.3">
      <c r="A11" s="310"/>
      <c r="B11" s="311"/>
      <c r="C11" s="222"/>
      <c r="D11" s="222"/>
      <c r="E11" s="222"/>
      <c r="F11" s="312"/>
      <c r="G11" s="313"/>
      <c r="J11" s="314"/>
    </row>
    <row r="12" spans="1:10" x14ac:dyDescent="0.3">
      <c r="A12" s="315"/>
      <c r="B12" s="226"/>
      <c r="C12" s="222"/>
      <c r="D12" s="222"/>
      <c r="E12" s="222"/>
      <c r="F12" s="316"/>
      <c r="G12" s="313"/>
      <c r="J12" s="314"/>
    </row>
    <row r="13" spans="1:10" s="195" customFormat="1" x14ac:dyDescent="0.3">
      <c r="A13" s="315"/>
      <c r="B13" s="285"/>
      <c r="C13" s="222"/>
      <c r="D13" s="222"/>
      <c r="E13" s="222"/>
      <c r="F13" s="316"/>
      <c r="G13" s="313"/>
      <c r="H13" s="296"/>
      <c r="J13" s="314"/>
    </row>
    <row r="14" spans="1:10" s="195" customFormat="1" x14ac:dyDescent="0.3">
      <c r="A14" s="315"/>
      <c r="B14" s="285"/>
      <c r="C14" s="222"/>
      <c r="D14" s="222"/>
      <c r="E14" s="222"/>
      <c r="F14" s="316"/>
      <c r="G14" s="313"/>
      <c r="H14" s="296"/>
      <c r="J14" s="314"/>
    </row>
    <row r="15" spans="1:10" s="195" customFormat="1" x14ac:dyDescent="0.3">
      <c r="A15" s="315"/>
      <c r="B15" s="285"/>
      <c r="C15" s="222"/>
      <c r="D15" s="222"/>
      <c r="E15" s="222"/>
      <c r="F15" s="316"/>
      <c r="G15" s="313"/>
      <c r="H15" s="296"/>
      <c r="J15" s="314"/>
    </row>
    <row r="16" spans="1:10" s="195" customFormat="1" x14ac:dyDescent="0.3">
      <c r="A16" s="315"/>
      <c r="B16" s="285"/>
      <c r="C16" s="222"/>
      <c r="D16" s="222"/>
      <c r="E16" s="222"/>
      <c r="F16" s="316"/>
      <c r="G16" s="313"/>
      <c r="H16" s="296"/>
      <c r="J16" s="314"/>
    </row>
    <row r="17" spans="1:10" s="195" customFormat="1" x14ac:dyDescent="0.3">
      <c r="A17" s="315"/>
      <c r="B17" s="285"/>
      <c r="C17" s="222"/>
      <c r="D17" s="222"/>
      <c r="E17" s="222"/>
      <c r="F17" s="316"/>
      <c r="G17" s="313"/>
      <c r="H17" s="296"/>
      <c r="J17" s="314"/>
    </row>
    <row r="18" spans="1:10" x14ac:dyDescent="0.3">
      <c r="A18" s="315"/>
      <c r="B18" s="285"/>
      <c r="C18" s="222"/>
      <c r="D18" s="222"/>
      <c r="E18" s="222"/>
      <c r="F18" s="316"/>
      <c r="G18" s="313"/>
      <c r="J18" s="314"/>
    </row>
    <row r="19" spans="1:10" x14ac:dyDescent="0.3">
      <c r="A19" s="315"/>
      <c r="B19" s="315"/>
      <c r="C19" s="222"/>
      <c r="D19" s="222"/>
      <c r="E19" s="222"/>
      <c r="F19" s="316"/>
      <c r="G19" s="313"/>
      <c r="J19" s="314"/>
    </row>
    <row r="20" spans="1:10" x14ac:dyDescent="0.3">
      <c r="A20" s="315"/>
      <c r="B20" s="315"/>
      <c r="C20" s="222"/>
      <c r="D20" s="222"/>
      <c r="E20" s="222"/>
      <c r="F20" s="316"/>
      <c r="G20" s="313"/>
      <c r="J20" s="314"/>
    </row>
    <row r="21" spans="1:10" x14ac:dyDescent="0.3">
      <c r="A21" s="315"/>
      <c r="B21" s="315"/>
      <c r="C21" s="222"/>
      <c r="D21" s="222"/>
      <c r="E21" s="222"/>
      <c r="F21" s="316"/>
      <c r="G21" s="313"/>
    </row>
    <row r="22" spans="1:10" x14ac:dyDescent="0.3">
      <c r="A22" s="315"/>
      <c r="B22" s="315"/>
      <c r="C22" s="222"/>
      <c r="D22" s="222"/>
      <c r="E22" s="222"/>
      <c r="F22" s="316"/>
      <c r="G22" s="313"/>
      <c r="I22" s="317"/>
    </row>
    <row r="23" spans="1:10" x14ac:dyDescent="0.3">
      <c r="A23" s="315"/>
      <c r="B23" s="315"/>
      <c r="C23" s="222"/>
      <c r="D23" s="222"/>
      <c r="E23" s="222"/>
      <c r="F23" s="316"/>
      <c r="G23" s="313"/>
      <c r="I23" s="317"/>
    </row>
    <row r="24" spans="1:10" x14ac:dyDescent="0.3">
      <c r="A24" s="315"/>
      <c r="B24" s="315"/>
      <c r="C24" s="222"/>
      <c r="D24" s="222"/>
      <c r="E24" s="222"/>
      <c r="F24" s="316"/>
      <c r="G24" s="313"/>
      <c r="I24" s="317"/>
    </row>
    <row r="25" spans="1:10" x14ac:dyDescent="0.3">
      <c r="A25" s="315"/>
      <c r="B25" s="315"/>
      <c r="C25" s="222"/>
      <c r="D25" s="222"/>
      <c r="E25" s="222"/>
      <c r="F25" s="316"/>
      <c r="G25" s="313"/>
      <c r="I25" s="317"/>
    </row>
    <row r="26" spans="1:10" x14ac:dyDescent="0.3">
      <c r="A26" s="318"/>
      <c r="B26" s="285"/>
      <c r="C26" s="285"/>
      <c r="D26" s="319"/>
      <c r="E26" s="226"/>
      <c r="F26" s="320"/>
      <c r="G26" s="321"/>
      <c r="I26" s="317"/>
    </row>
    <row r="27" spans="1:10" ht="15" thickBot="1" x14ac:dyDescent="0.35">
      <c r="A27" s="318"/>
      <c r="B27" s="285"/>
      <c r="C27" s="285"/>
      <c r="D27" s="319"/>
      <c r="E27" s="226"/>
      <c r="F27" s="320"/>
      <c r="G27" s="321"/>
      <c r="I27" s="317"/>
    </row>
    <row r="28" spans="1:10" ht="15" thickBot="1" x14ac:dyDescent="0.35">
      <c r="A28" s="645"/>
      <c r="B28" s="646"/>
      <c r="C28" s="221"/>
      <c r="D28" s="322"/>
      <c r="E28" s="323"/>
      <c r="F28" s="324"/>
      <c r="G28" s="325">
        <f>SUM(G11:G27)</f>
        <v>0</v>
      </c>
    </row>
    <row r="29" spans="1:10" ht="9" customHeight="1" x14ac:dyDescent="0.3">
      <c r="A29" s="231"/>
      <c r="B29" s="233"/>
      <c r="C29" s="233"/>
      <c r="D29" s="227"/>
      <c r="E29" s="227"/>
      <c r="F29" s="194"/>
      <c r="G29" s="326"/>
    </row>
    <row r="30" spans="1:10" x14ac:dyDescent="0.3">
      <c r="A30" s="238" t="s">
        <v>140</v>
      </c>
      <c r="B30" s="236"/>
      <c r="C30" s="647" t="str">
        <f>'[2]RIS-A&amp;M'!C31</f>
        <v>Purchase for the school supplies</v>
      </c>
      <c r="D30" s="647"/>
      <c r="E30" s="647"/>
      <c r="F30" s="647"/>
      <c r="G30" s="648"/>
    </row>
    <row r="31" spans="1:10" x14ac:dyDescent="0.3">
      <c r="A31" s="327"/>
      <c r="B31" s="328"/>
      <c r="C31" s="629"/>
      <c r="D31" s="629"/>
      <c r="E31" s="629"/>
      <c r="F31" s="630"/>
      <c r="G31" s="631"/>
    </row>
    <row r="32" spans="1:10" ht="15" thickBot="1" x14ac:dyDescent="0.35">
      <c r="A32" s="238"/>
      <c r="B32" s="236"/>
      <c r="C32" s="236"/>
      <c r="D32" s="236"/>
      <c r="E32" s="245"/>
      <c r="F32" s="207"/>
      <c r="G32" s="212"/>
    </row>
    <row r="33" spans="1:7" x14ac:dyDescent="0.3">
      <c r="A33" s="231" t="s">
        <v>141</v>
      </c>
      <c r="B33" s="233"/>
      <c r="C33" s="632"/>
      <c r="D33" s="633"/>
      <c r="E33" s="236" t="s">
        <v>142</v>
      </c>
      <c r="F33" s="196"/>
      <c r="G33" s="210"/>
    </row>
    <row r="34" spans="1:7" ht="27" customHeight="1" x14ac:dyDescent="0.3">
      <c r="A34" s="327" t="s">
        <v>57</v>
      </c>
      <c r="B34" s="236"/>
      <c r="C34" s="584"/>
      <c r="D34" s="585"/>
      <c r="E34" s="236"/>
      <c r="F34" s="196"/>
      <c r="G34" s="210"/>
    </row>
    <row r="35" spans="1:7" x14ac:dyDescent="0.3">
      <c r="A35" s="238" t="s">
        <v>143</v>
      </c>
      <c r="B35" s="236"/>
      <c r="C35" s="634" t="s">
        <v>144</v>
      </c>
      <c r="D35" s="635"/>
      <c r="E35" s="574" t="s">
        <v>25</v>
      </c>
      <c r="F35" s="597"/>
      <c r="G35" s="636"/>
    </row>
    <row r="36" spans="1:7" x14ac:dyDescent="0.3">
      <c r="A36" s="238" t="s">
        <v>145</v>
      </c>
      <c r="B36" s="236"/>
      <c r="C36" s="637" t="s">
        <v>146</v>
      </c>
      <c r="D36" s="638"/>
      <c r="E36" s="584" t="s">
        <v>26</v>
      </c>
      <c r="F36" s="594"/>
      <c r="G36" s="639"/>
    </row>
    <row r="37" spans="1:7" ht="4.5" customHeight="1" thickBot="1" x14ac:dyDescent="0.35">
      <c r="A37" s="244"/>
      <c r="B37" s="245"/>
      <c r="C37" s="245"/>
      <c r="D37" s="247"/>
      <c r="E37" s="245"/>
      <c r="F37" s="207"/>
      <c r="G37" s="212"/>
    </row>
    <row r="38" spans="1:7" x14ac:dyDescent="0.3">
      <c r="A38" s="236"/>
      <c r="B38" s="236"/>
      <c r="C38" s="236"/>
      <c r="D38" s="236"/>
      <c r="E38" s="236"/>
      <c r="F38" s="196"/>
      <c r="G38" s="196"/>
    </row>
    <row r="39" spans="1:7" x14ac:dyDescent="0.3">
      <c r="A39" s="236"/>
      <c r="B39" s="236"/>
      <c r="C39" s="236"/>
      <c r="D39" s="236"/>
      <c r="E39" s="236"/>
      <c r="F39" s="196"/>
      <c r="G39" s="196"/>
    </row>
    <row r="40" spans="1:7" x14ac:dyDescent="0.3">
      <c r="A40" s="236"/>
      <c r="B40" s="236"/>
      <c r="C40" s="236"/>
      <c r="D40" s="236"/>
      <c r="E40" s="236"/>
      <c r="F40" s="196"/>
      <c r="G40" s="196"/>
    </row>
  </sheetData>
  <mergeCells count="13">
    <mergeCell ref="C36:D36"/>
    <mergeCell ref="E36:G36"/>
    <mergeCell ref="F1:G1"/>
    <mergeCell ref="A2:G2"/>
    <mergeCell ref="E7:F7"/>
    <mergeCell ref="A8:C8"/>
    <mergeCell ref="A28:B28"/>
    <mergeCell ref="C30:G30"/>
    <mergeCell ref="C31:G31"/>
    <mergeCell ref="C33:D33"/>
    <mergeCell ref="C34:D34"/>
    <mergeCell ref="C35:D35"/>
    <mergeCell ref="E35:G35"/>
  </mergeCells>
  <printOptions horizontalCentered="1"/>
  <pageMargins left="0.118110236220472" right="0.118110236220472" top="0.74803149606299202" bottom="0.74803149606299202" header="0.31496062992126" footer="0.31496062992126"/>
  <pageSetup paperSize="9" scale="1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E380-19EB-4BCA-832F-2F1F1878E8F2}">
  <sheetPr>
    <tabColor rgb="FF00B050"/>
  </sheetPr>
  <dimension ref="A1:V62"/>
  <sheetViews>
    <sheetView view="pageBreakPreview" topLeftCell="A16" zoomScale="101" zoomScaleNormal="80" workbookViewId="0">
      <selection activeCell="C40" sqref="C40:E40"/>
    </sheetView>
  </sheetViews>
  <sheetFormatPr defaultColWidth="8.77734375" defaultRowHeight="14.4" x14ac:dyDescent="0.3"/>
  <cols>
    <col min="1" max="1" width="5.44140625" style="296" customWidth="1"/>
    <col min="2" max="2" width="31.6640625" style="296" customWidth="1"/>
    <col min="3" max="3" width="8.109375" style="296" customWidth="1"/>
    <col min="4" max="4" width="7" style="296" customWidth="1"/>
    <col min="5" max="5" width="14.109375" style="296" customWidth="1"/>
    <col min="6" max="6" width="13.88671875" style="296" customWidth="1"/>
    <col min="7" max="7" width="14.33203125" style="296" customWidth="1"/>
    <col min="8" max="8" width="10.6640625" style="296" customWidth="1"/>
    <col min="9" max="9" width="9.5546875" style="296" customWidth="1"/>
    <col min="10" max="11" width="8.77734375" style="296"/>
    <col min="12" max="12" width="20.21875" style="296" customWidth="1"/>
    <col min="13" max="13" width="8.44140625" style="296" customWidth="1"/>
    <col min="14" max="14" width="10.21875" style="296" customWidth="1"/>
    <col min="15" max="17" width="8.44140625" style="296" customWidth="1"/>
    <col min="18" max="16384" width="8.77734375" style="296"/>
  </cols>
  <sheetData>
    <row r="1" spans="1:17" ht="18" x14ac:dyDescent="0.35">
      <c r="A1" s="666" t="s">
        <v>147</v>
      </c>
      <c r="B1" s="666"/>
      <c r="C1" s="666"/>
      <c r="D1" s="666"/>
      <c r="E1" s="666"/>
      <c r="F1" s="666"/>
      <c r="G1" s="666"/>
      <c r="H1" s="331"/>
    </row>
    <row r="2" spans="1:17" ht="7.5" customHeight="1" x14ac:dyDescent="0.3"/>
    <row r="3" spans="1:17" x14ac:dyDescent="0.3">
      <c r="A3" s="650" t="s">
        <v>109</v>
      </c>
      <c r="B3" s="650"/>
      <c r="C3" s="650"/>
      <c r="D3" s="650"/>
      <c r="E3" s="650"/>
      <c r="F3" s="650"/>
      <c r="G3" s="650"/>
      <c r="H3" s="332"/>
    </row>
    <row r="4" spans="1:17" x14ac:dyDescent="0.3">
      <c r="A4" s="650" t="s">
        <v>110</v>
      </c>
      <c r="B4" s="650"/>
      <c r="C4" s="650"/>
      <c r="D4" s="650"/>
      <c r="E4" s="650"/>
      <c r="F4" s="650"/>
      <c r="G4" s="650"/>
      <c r="H4" s="332"/>
    </row>
    <row r="5" spans="1:17" x14ac:dyDescent="0.3">
      <c r="A5" s="662" t="s">
        <v>148</v>
      </c>
      <c r="B5" s="662"/>
      <c r="C5" s="662"/>
      <c r="D5" s="662"/>
      <c r="E5" s="662"/>
      <c r="F5" s="662"/>
      <c r="G5" s="662"/>
      <c r="H5" s="333"/>
    </row>
    <row r="6" spans="1:17" x14ac:dyDescent="0.3">
      <c r="A6" s="650" t="s">
        <v>111</v>
      </c>
      <c r="B6" s="650"/>
      <c r="C6" s="650"/>
      <c r="D6" s="650"/>
      <c r="E6" s="650"/>
      <c r="F6" s="650"/>
      <c r="G6" s="650"/>
      <c r="H6" s="332"/>
      <c r="Q6" s="296" t="s">
        <v>45</v>
      </c>
    </row>
    <row r="7" spans="1:17" ht="6.75" customHeight="1" thickBot="1" x14ac:dyDescent="0.35"/>
    <row r="8" spans="1:17" x14ac:dyDescent="0.3">
      <c r="A8" s="667" t="s">
        <v>149</v>
      </c>
      <c r="B8" s="669" t="s">
        <v>150</v>
      </c>
      <c r="C8" s="671" t="s">
        <v>151</v>
      </c>
      <c r="D8" s="671" t="s">
        <v>93</v>
      </c>
      <c r="E8" s="674" t="s">
        <v>152</v>
      </c>
      <c r="F8" s="675"/>
      <c r="G8" s="676"/>
      <c r="H8" s="333"/>
    </row>
    <row r="9" spans="1:17" ht="76.8" customHeight="1" x14ac:dyDescent="0.3">
      <c r="A9" s="668"/>
      <c r="B9" s="670"/>
      <c r="C9" s="672"/>
      <c r="D9" s="673"/>
      <c r="E9" s="334"/>
      <c r="F9" s="334"/>
      <c r="G9" s="335"/>
      <c r="H9" s="336"/>
      <c r="J9" s="195"/>
      <c r="O9" s="337"/>
      <c r="P9" s="337"/>
      <c r="Q9" s="337"/>
    </row>
    <row r="10" spans="1:17" x14ac:dyDescent="0.3">
      <c r="A10" s="338">
        <v>1</v>
      </c>
      <c r="B10" s="339"/>
      <c r="C10" s="226"/>
      <c r="D10" s="226"/>
      <c r="E10" s="340"/>
      <c r="F10" s="340"/>
      <c r="G10" s="341"/>
      <c r="H10" s="342"/>
      <c r="I10" s="342"/>
      <c r="J10" s="342"/>
      <c r="N10" s="227"/>
      <c r="O10" s="227"/>
      <c r="P10" s="227"/>
    </row>
    <row r="11" spans="1:17" x14ac:dyDescent="0.3">
      <c r="A11" s="338">
        <f t="shared" ref="A11:A19" si="0">A10+1</f>
        <v>2</v>
      </c>
      <c r="B11" s="339"/>
      <c r="C11" s="226"/>
      <c r="D11" s="226"/>
      <c r="E11" s="340"/>
      <c r="F11" s="340"/>
      <c r="G11" s="341"/>
      <c r="H11" s="342"/>
      <c r="I11" s="342"/>
      <c r="J11" s="342"/>
      <c r="N11" s="227"/>
      <c r="O11" s="227"/>
      <c r="P11" s="227"/>
    </row>
    <row r="12" spans="1:17" x14ac:dyDescent="0.3">
      <c r="A12" s="338">
        <f t="shared" si="0"/>
        <v>3</v>
      </c>
      <c r="B12" s="339"/>
      <c r="C12" s="226"/>
      <c r="D12" s="226"/>
      <c r="E12" s="340"/>
      <c r="F12" s="340"/>
      <c r="G12" s="341"/>
      <c r="H12" s="342"/>
      <c r="I12" s="342"/>
      <c r="J12" s="342"/>
      <c r="N12" s="227"/>
      <c r="O12" s="227"/>
      <c r="P12" s="227"/>
    </row>
    <row r="13" spans="1:17" x14ac:dyDescent="0.3">
      <c r="A13" s="338">
        <f t="shared" si="0"/>
        <v>4</v>
      </c>
      <c r="B13" s="339"/>
      <c r="C13" s="226"/>
      <c r="D13" s="226"/>
      <c r="E13" s="340"/>
      <c r="F13" s="340"/>
      <c r="G13" s="341"/>
      <c r="H13" s="342"/>
      <c r="I13" s="342"/>
      <c r="J13" s="342"/>
      <c r="N13" s="194"/>
      <c r="O13" s="194"/>
      <c r="P13" s="194"/>
    </row>
    <row r="14" spans="1:17" x14ac:dyDescent="0.3">
      <c r="A14" s="338">
        <f t="shared" si="0"/>
        <v>5</v>
      </c>
      <c r="B14" s="339"/>
      <c r="C14" s="226"/>
      <c r="D14" s="226"/>
      <c r="E14" s="340"/>
      <c r="F14" s="340"/>
      <c r="G14" s="341"/>
      <c r="H14" s="342"/>
      <c r="I14" s="342"/>
      <c r="J14" s="342"/>
      <c r="N14" s="194"/>
      <c r="O14" s="194"/>
      <c r="P14" s="194"/>
    </row>
    <row r="15" spans="1:17" x14ac:dyDescent="0.3">
      <c r="A15" s="338">
        <f t="shared" si="0"/>
        <v>6</v>
      </c>
      <c r="B15" s="339"/>
      <c r="C15" s="226"/>
      <c r="D15" s="226"/>
      <c r="E15" s="340"/>
      <c r="F15" s="340"/>
      <c r="G15" s="341"/>
      <c r="H15" s="342"/>
      <c r="I15" s="342"/>
      <c r="J15" s="342"/>
      <c r="N15" s="194"/>
      <c r="O15" s="194"/>
      <c r="P15" s="194"/>
    </row>
    <row r="16" spans="1:17" s="230" customFormat="1" x14ac:dyDescent="0.3">
      <c r="A16" s="338">
        <f t="shared" si="0"/>
        <v>7</v>
      </c>
      <c r="B16" s="339"/>
      <c r="C16" s="226"/>
      <c r="D16" s="226"/>
      <c r="E16" s="340"/>
      <c r="F16" s="340"/>
      <c r="G16" s="341"/>
      <c r="H16" s="342"/>
      <c r="I16" s="342"/>
      <c r="J16" s="342"/>
      <c r="N16" s="194"/>
      <c r="O16" s="343"/>
      <c r="P16" s="194"/>
    </row>
    <row r="17" spans="1:22" x14ac:dyDescent="0.3">
      <c r="A17" s="338">
        <f t="shared" si="0"/>
        <v>8</v>
      </c>
      <c r="B17" s="339"/>
      <c r="C17" s="226"/>
      <c r="D17" s="226"/>
      <c r="E17" s="340"/>
      <c r="F17" s="340"/>
      <c r="G17" s="341"/>
      <c r="H17" s="342"/>
      <c r="I17" s="342"/>
      <c r="J17" s="342"/>
      <c r="N17" s="194"/>
      <c r="O17" s="344"/>
      <c r="P17" s="194"/>
    </row>
    <row r="18" spans="1:22" x14ac:dyDescent="0.3">
      <c r="A18" s="338">
        <f t="shared" si="0"/>
        <v>9</v>
      </c>
      <c r="B18" s="339"/>
      <c r="C18" s="226"/>
      <c r="D18" s="226"/>
      <c r="E18" s="340"/>
      <c r="F18" s="340"/>
      <c r="G18" s="341"/>
      <c r="H18" s="342"/>
      <c r="I18" s="342"/>
      <c r="J18" s="342"/>
      <c r="N18" s="194"/>
      <c r="O18" s="344"/>
      <c r="P18" s="194"/>
    </row>
    <row r="19" spans="1:22" x14ac:dyDescent="0.3">
      <c r="A19" s="338">
        <f t="shared" si="0"/>
        <v>10</v>
      </c>
      <c r="B19" s="339"/>
      <c r="C19" s="226"/>
      <c r="D19" s="226"/>
      <c r="E19" s="340"/>
      <c r="F19" s="340"/>
      <c r="G19" s="341"/>
      <c r="H19" s="342"/>
      <c r="I19" s="342"/>
      <c r="J19" s="342"/>
      <c r="N19" s="227"/>
      <c r="O19" s="344"/>
      <c r="P19" s="194"/>
    </row>
    <row r="20" spans="1:22" x14ac:dyDescent="0.3">
      <c r="A20" s="338"/>
      <c r="B20" s="339"/>
      <c r="C20" s="226"/>
      <c r="D20" s="226"/>
      <c r="E20" s="340"/>
      <c r="F20" s="340"/>
      <c r="G20" s="341"/>
      <c r="H20" s="342"/>
      <c r="I20" s="342"/>
      <c r="J20" s="342"/>
      <c r="N20" s="227"/>
      <c r="O20" s="344"/>
      <c r="P20" s="194"/>
    </row>
    <row r="21" spans="1:22" x14ac:dyDescent="0.3">
      <c r="A21" s="338"/>
      <c r="B21" s="339"/>
      <c r="C21" s="226"/>
      <c r="D21" s="226"/>
      <c r="E21" s="340"/>
      <c r="F21" s="340"/>
      <c r="G21" s="341"/>
      <c r="H21" s="342"/>
      <c r="I21" s="342"/>
      <c r="J21" s="342"/>
      <c r="N21" s="227"/>
      <c r="O21" s="344"/>
      <c r="P21" s="194"/>
    </row>
    <row r="22" spans="1:22" x14ac:dyDescent="0.3">
      <c r="A22" s="338"/>
      <c r="B22" s="339"/>
      <c r="C22" s="226"/>
      <c r="D22" s="226"/>
      <c r="E22" s="320"/>
      <c r="F22" s="340"/>
      <c r="G22" s="341"/>
      <c r="H22" s="342"/>
      <c r="I22" s="342"/>
      <c r="J22" s="342"/>
      <c r="N22" s="227"/>
      <c r="O22" s="345"/>
      <c r="P22" s="194"/>
    </row>
    <row r="23" spans="1:22" x14ac:dyDescent="0.3">
      <c r="A23" s="346">
        <f t="shared" ref="A23:A26" si="1">A22+1</f>
        <v>1</v>
      </c>
      <c r="B23" s="347">
        <f>'[2]PR-A&amp;m'!D24</f>
        <v>0</v>
      </c>
      <c r="C23" s="348">
        <f>'[2]PR-A&amp;m'!E24</f>
        <v>0</v>
      </c>
      <c r="D23" s="348">
        <f>'[2]PR-A&amp;m'!C24</f>
        <v>0</v>
      </c>
      <c r="E23" s="320"/>
      <c r="F23" s="349">
        <f t="shared" ref="F23:F27" si="2">I23*C23</f>
        <v>0</v>
      </c>
      <c r="G23" s="350">
        <f t="shared" ref="G23:G26" si="3">J23*C23</f>
        <v>0</v>
      </c>
      <c r="H23" s="342"/>
      <c r="I23" s="342"/>
      <c r="J23" s="342"/>
      <c r="L23" s="227"/>
      <c r="M23" s="351"/>
      <c r="N23" s="194"/>
      <c r="O23" s="352"/>
      <c r="P23" s="352"/>
      <c r="Q23" s="352"/>
      <c r="T23" s="227"/>
      <c r="U23" s="345"/>
      <c r="V23" s="194"/>
    </row>
    <row r="24" spans="1:22" x14ac:dyDescent="0.3">
      <c r="A24" s="346">
        <f t="shared" si="1"/>
        <v>2</v>
      </c>
      <c r="B24" s="347">
        <f>'[2]PR-A&amp;m'!D25</f>
        <v>0</v>
      </c>
      <c r="C24" s="348">
        <f>'[2]PR-A&amp;m'!E25</f>
        <v>0</v>
      </c>
      <c r="D24" s="348">
        <f>'[2]PR-A&amp;m'!C25</f>
        <v>0</v>
      </c>
      <c r="E24" s="320"/>
      <c r="F24" s="349">
        <f t="shared" si="2"/>
        <v>0</v>
      </c>
      <c r="G24" s="350">
        <f t="shared" si="3"/>
        <v>0</v>
      </c>
      <c r="H24" s="342"/>
      <c r="I24" s="342"/>
      <c r="J24" s="342"/>
      <c r="L24" s="227"/>
      <c r="M24" s="351"/>
      <c r="N24" s="194"/>
      <c r="O24" s="352"/>
      <c r="P24" s="352"/>
      <c r="Q24" s="352"/>
      <c r="T24" s="227"/>
      <c r="U24" s="345"/>
      <c r="V24" s="194"/>
    </row>
    <row r="25" spans="1:22" x14ac:dyDescent="0.3">
      <c r="A25" s="346">
        <f t="shared" si="1"/>
        <v>3</v>
      </c>
      <c r="B25" s="347">
        <f>'[2]PR-A&amp;m'!D26</f>
        <v>0</v>
      </c>
      <c r="C25" s="348">
        <f>'[2]PR-A&amp;m'!E26</f>
        <v>0</v>
      </c>
      <c r="D25" s="348">
        <f>'[2]PR-A&amp;m'!C26</f>
        <v>0</v>
      </c>
      <c r="E25" s="320"/>
      <c r="F25" s="349">
        <f t="shared" si="2"/>
        <v>0</v>
      </c>
      <c r="G25" s="350">
        <f t="shared" si="3"/>
        <v>0</v>
      </c>
      <c r="H25" s="342"/>
      <c r="I25" s="342"/>
      <c r="J25" s="342"/>
      <c r="L25" s="227"/>
      <c r="M25" s="351"/>
      <c r="N25" s="194"/>
      <c r="O25" s="352"/>
      <c r="P25" s="352"/>
      <c r="Q25" s="352"/>
      <c r="T25" s="227"/>
      <c r="U25" s="345"/>
      <c r="V25" s="194"/>
    </row>
    <row r="26" spans="1:22" x14ac:dyDescent="0.3">
      <c r="A26" s="346">
        <f t="shared" si="1"/>
        <v>4</v>
      </c>
      <c r="B26" s="347">
        <f>'[2]PR-A&amp;m'!D27</f>
        <v>0</v>
      </c>
      <c r="C26" s="348">
        <f>'[2]PR-A&amp;m'!E27</f>
        <v>0</v>
      </c>
      <c r="D26" s="348">
        <f>'[2]PR-A&amp;m'!C27</f>
        <v>0</v>
      </c>
      <c r="E26" s="320"/>
      <c r="F26" s="349">
        <f t="shared" si="2"/>
        <v>0</v>
      </c>
      <c r="G26" s="350">
        <f t="shared" si="3"/>
        <v>0</v>
      </c>
      <c r="H26" s="342"/>
      <c r="I26" s="342"/>
      <c r="J26" s="342"/>
      <c r="L26" s="227"/>
      <c r="M26" s="351"/>
      <c r="N26" s="194"/>
      <c r="O26" s="352"/>
      <c r="P26" s="352"/>
      <c r="Q26" s="352"/>
      <c r="T26" s="227"/>
      <c r="U26" s="345"/>
      <c r="V26" s="194"/>
    </row>
    <row r="27" spans="1:22" ht="15" thickBot="1" x14ac:dyDescent="0.35">
      <c r="A27" s="353"/>
      <c r="B27" s="354"/>
      <c r="C27" s="355"/>
      <c r="D27" s="355"/>
      <c r="E27" s="356"/>
      <c r="F27" s="349">
        <f t="shared" si="2"/>
        <v>0</v>
      </c>
      <c r="G27" s="357"/>
      <c r="H27" s="358"/>
      <c r="O27" s="317"/>
      <c r="P27" s="317"/>
      <c r="Q27" s="317"/>
    </row>
    <row r="28" spans="1:22" ht="18.600000000000001" thickBot="1" x14ac:dyDescent="0.4">
      <c r="A28" s="656"/>
      <c r="B28" s="657"/>
      <c r="C28" s="657"/>
      <c r="D28" s="658"/>
      <c r="E28" s="359">
        <f>SUM(E10:E27)</f>
        <v>0</v>
      </c>
      <c r="F28" s="359">
        <f>SUM(F10:F27)</f>
        <v>0</v>
      </c>
      <c r="G28" s="359">
        <f>SUM(G10:G27)</f>
        <v>0</v>
      </c>
      <c r="H28" s="360"/>
      <c r="J28" s="317"/>
      <c r="K28" s="317"/>
      <c r="O28" s="317"/>
      <c r="P28" s="317"/>
      <c r="Q28" s="317"/>
    </row>
    <row r="29" spans="1:22" x14ac:dyDescent="0.3">
      <c r="A29" s="361"/>
      <c r="G29" s="362"/>
      <c r="O29" s="317"/>
      <c r="P29" s="317"/>
      <c r="Q29" s="317"/>
    </row>
    <row r="30" spans="1:22" x14ac:dyDescent="0.3">
      <c r="A30" s="361"/>
      <c r="B30" s="363" t="s">
        <v>153</v>
      </c>
      <c r="C30" s="659">
        <f>E9</f>
        <v>0</v>
      </c>
      <c r="D30" s="659"/>
      <c r="E30" s="659"/>
      <c r="F30" s="659"/>
      <c r="G30" s="660"/>
      <c r="H30" s="364"/>
      <c r="O30" s="317"/>
      <c r="P30" s="317"/>
      <c r="Q30" s="317"/>
    </row>
    <row r="31" spans="1:22" x14ac:dyDescent="0.3">
      <c r="A31" s="361"/>
      <c r="G31" s="362"/>
      <c r="O31" s="317"/>
      <c r="P31" s="317"/>
      <c r="Q31" s="317"/>
    </row>
    <row r="32" spans="1:22" s="367" customFormat="1" ht="13.8" x14ac:dyDescent="0.3">
      <c r="A32" s="365"/>
      <c r="B32" s="366" t="s">
        <v>154</v>
      </c>
      <c r="G32" s="368"/>
      <c r="O32" s="369"/>
      <c r="P32" s="369"/>
      <c r="Q32" s="369"/>
    </row>
    <row r="33" spans="1:17" s="367" customFormat="1" ht="13.8" x14ac:dyDescent="0.3">
      <c r="A33" s="370" t="s">
        <v>155</v>
      </c>
      <c r="B33" s="366"/>
      <c r="G33" s="368"/>
      <c r="L33" s="371"/>
      <c r="M33" s="371"/>
      <c r="N33" s="371"/>
      <c r="O33" s="371"/>
      <c r="P33" s="371"/>
      <c r="Q33" s="371"/>
    </row>
    <row r="34" spans="1:17" s="367" customFormat="1" ht="13.8" x14ac:dyDescent="0.3">
      <c r="A34" s="370" t="s">
        <v>156</v>
      </c>
      <c r="B34" s="366"/>
      <c r="G34" s="368"/>
      <c r="L34" s="371"/>
      <c r="M34" s="371"/>
      <c r="N34" s="371"/>
      <c r="O34" s="371"/>
      <c r="P34" s="371"/>
      <c r="Q34" s="371"/>
    </row>
    <row r="35" spans="1:17" x14ac:dyDescent="0.3">
      <c r="A35" s="365"/>
      <c r="G35" s="362"/>
      <c r="L35" s="372"/>
      <c r="M35" s="372"/>
      <c r="N35" s="372"/>
      <c r="O35" s="372"/>
      <c r="P35" s="372"/>
      <c r="Q35" s="372"/>
    </row>
    <row r="36" spans="1:17" x14ac:dyDescent="0.3">
      <c r="A36" s="661" t="s">
        <v>157</v>
      </c>
      <c r="B36" s="662"/>
      <c r="C36" s="662"/>
      <c r="D36" s="662"/>
      <c r="E36" s="662"/>
      <c r="F36" s="662"/>
      <c r="G36" s="663"/>
      <c r="H36" s="333"/>
      <c r="L36" s="372"/>
      <c r="M36" s="372"/>
      <c r="N36" s="372"/>
      <c r="O36" s="372"/>
      <c r="P36" s="372"/>
      <c r="Q36" s="372"/>
    </row>
    <row r="37" spans="1:17" x14ac:dyDescent="0.3">
      <c r="A37" s="361"/>
      <c r="B37" s="664"/>
      <c r="C37" s="664"/>
      <c r="D37" s="664"/>
      <c r="E37" s="664"/>
      <c r="F37" s="664"/>
      <c r="G37" s="665"/>
      <c r="H37" s="373"/>
      <c r="L37" s="372"/>
      <c r="M37" s="372"/>
      <c r="N37" s="372"/>
      <c r="O37" s="372"/>
      <c r="P37" s="372"/>
      <c r="Q37" s="372"/>
    </row>
    <row r="38" spans="1:17" x14ac:dyDescent="0.3">
      <c r="A38" s="361"/>
      <c r="B38" s="373"/>
      <c r="C38" s="373"/>
      <c r="D38" s="373"/>
      <c r="E38" s="373"/>
      <c r="F38" s="373"/>
      <c r="G38" s="374"/>
      <c r="H38" s="373"/>
      <c r="L38" s="372"/>
      <c r="M38" s="372"/>
      <c r="N38" s="372"/>
      <c r="O38" s="372"/>
      <c r="P38" s="372"/>
      <c r="Q38" s="372"/>
    </row>
    <row r="39" spans="1:17" x14ac:dyDescent="0.3">
      <c r="A39" s="375"/>
      <c r="B39" s="376"/>
      <c r="C39" s="654" t="s">
        <v>158</v>
      </c>
      <c r="D39" s="654"/>
      <c r="E39" s="654"/>
      <c r="F39" s="376"/>
      <c r="G39" s="377"/>
      <c r="H39" s="376"/>
      <c r="L39" s="372"/>
      <c r="M39" s="372"/>
      <c r="N39" s="372"/>
      <c r="O39" s="372"/>
      <c r="P39" s="372"/>
      <c r="Q39" s="372"/>
    </row>
    <row r="40" spans="1:17" x14ac:dyDescent="0.3">
      <c r="A40" s="361"/>
      <c r="C40" s="650" t="s">
        <v>159</v>
      </c>
      <c r="D40" s="650"/>
      <c r="E40" s="650"/>
      <c r="G40" s="362"/>
      <c r="L40" s="372"/>
      <c r="M40" s="372"/>
      <c r="N40" s="372"/>
      <c r="O40" s="372"/>
      <c r="P40" s="372"/>
      <c r="Q40" s="372"/>
    </row>
    <row r="41" spans="1:17" x14ac:dyDescent="0.3">
      <c r="A41" s="361"/>
      <c r="G41" s="362"/>
      <c r="K41" s="243"/>
    </row>
    <row r="42" spans="1:17" x14ac:dyDescent="0.3">
      <c r="A42" s="653" t="s">
        <v>160</v>
      </c>
      <c r="B42" s="654"/>
      <c r="C42" s="654"/>
      <c r="D42" s="376"/>
      <c r="E42" s="654" t="s">
        <v>161</v>
      </c>
      <c r="F42" s="654"/>
      <c r="G42" s="655"/>
      <c r="H42" s="333"/>
    </row>
    <row r="43" spans="1:17" x14ac:dyDescent="0.3">
      <c r="A43" s="649" t="s">
        <v>162</v>
      </c>
      <c r="B43" s="650"/>
      <c r="C43" s="650"/>
      <c r="E43" s="651" t="s">
        <v>162</v>
      </c>
      <c r="F43" s="651"/>
      <c r="G43" s="652"/>
      <c r="H43" s="332"/>
    </row>
    <row r="44" spans="1:17" x14ac:dyDescent="0.3">
      <c r="A44" s="361"/>
      <c r="G44" s="362"/>
    </row>
    <row r="45" spans="1:17" x14ac:dyDescent="0.3">
      <c r="A45" s="653" t="s">
        <v>144</v>
      </c>
      <c r="B45" s="654"/>
      <c r="C45" s="654"/>
      <c r="E45" s="654" t="s">
        <v>163</v>
      </c>
      <c r="F45" s="654"/>
      <c r="G45" s="655"/>
      <c r="H45" s="333"/>
    </row>
    <row r="46" spans="1:17" x14ac:dyDescent="0.3">
      <c r="A46" s="649" t="s">
        <v>162</v>
      </c>
      <c r="B46" s="650"/>
      <c r="C46" s="650"/>
      <c r="E46" s="651" t="s">
        <v>162</v>
      </c>
      <c r="F46" s="651"/>
      <c r="G46" s="652"/>
      <c r="H46" s="332"/>
    </row>
    <row r="47" spans="1:17" ht="15" thickBot="1" x14ac:dyDescent="0.35">
      <c r="A47" s="378"/>
      <c r="B47" s="379"/>
      <c r="C47" s="379"/>
      <c r="D47" s="379"/>
      <c r="E47" s="379"/>
      <c r="F47" s="379"/>
      <c r="G47" s="380"/>
    </row>
    <row r="62" spans="6:6" x14ac:dyDescent="0.3">
      <c r="F62" s="296" t="s">
        <v>45</v>
      </c>
    </row>
  </sheetData>
  <mergeCells count="25">
    <mergeCell ref="C39:E39"/>
    <mergeCell ref="A1:G1"/>
    <mergeCell ref="A3:G3"/>
    <mergeCell ref="A4:G4"/>
    <mergeCell ref="A5:G5"/>
    <mergeCell ref="A6:G6"/>
    <mergeCell ref="A8:A9"/>
    <mergeCell ref="B8:B9"/>
    <mergeCell ref="C8:C9"/>
    <mergeCell ref="D8:D9"/>
    <mergeCell ref="E8:G8"/>
    <mergeCell ref="A28:D28"/>
    <mergeCell ref="C30:G30"/>
    <mergeCell ref="A36:G36"/>
    <mergeCell ref="B37:D37"/>
    <mergeCell ref="E37:G37"/>
    <mergeCell ref="A46:C46"/>
    <mergeCell ref="E46:G46"/>
    <mergeCell ref="C40:E40"/>
    <mergeCell ref="A42:C42"/>
    <mergeCell ref="E42:G42"/>
    <mergeCell ref="A43:C43"/>
    <mergeCell ref="E43:G43"/>
    <mergeCell ref="A45:C45"/>
    <mergeCell ref="E45:G45"/>
  </mergeCells>
  <printOptions horizontalCentered="1"/>
  <pageMargins left="0.196850393700787" right="0.196850393700787" top="0.39370078740157499" bottom="0.39370078740157499" header="0.31496062992126" footer="0.31496062992126"/>
  <pageSetup paperSize="9" scale="97" orientation="portrait" r:id="rId1"/>
  <rowBreaks count="1" manualBreakCount="1">
    <brk id="47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7ED0-0C66-47B5-97E8-AF241501CB42}">
  <sheetPr>
    <tabColor rgb="FF00B050"/>
  </sheetPr>
  <dimension ref="A1:G55"/>
  <sheetViews>
    <sheetView view="pageBreakPreview" topLeftCell="A22" zoomScaleNormal="100" zoomScaleSheetLayoutView="100" workbookViewId="0">
      <selection activeCell="D29" sqref="D29"/>
    </sheetView>
  </sheetViews>
  <sheetFormatPr defaultColWidth="9.109375" defaultRowHeight="14.4" x14ac:dyDescent="0.3"/>
  <cols>
    <col min="1" max="1" width="19.21875" style="296" customWidth="1"/>
    <col min="2" max="2" width="35.21875" style="296" customWidth="1"/>
    <col min="3" max="3" width="12.77734375" style="296" customWidth="1"/>
    <col min="4" max="4" width="22" style="296" customWidth="1"/>
    <col min="5" max="9" width="9.109375" style="296"/>
    <col min="10" max="10" width="17.88671875" style="296" customWidth="1"/>
    <col min="11" max="16384" width="9.109375" style="296"/>
  </cols>
  <sheetData>
    <row r="1" spans="1:4" x14ac:dyDescent="0.3">
      <c r="A1" s="231"/>
      <c r="B1" s="233"/>
      <c r="C1" s="233"/>
      <c r="D1" s="381" t="s">
        <v>164</v>
      </c>
    </row>
    <row r="2" spans="1:4" ht="15.6" x14ac:dyDescent="0.3">
      <c r="A2" s="680" t="s">
        <v>165</v>
      </c>
      <c r="B2" s="640"/>
      <c r="C2" s="640"/>
      <c r="D2" s="681"/>
    </row>
    <row r="3" spans="1:4" x14ac:dyDescent="0.3">
      <c r="A3" s="382"/>
      <c r="B3" s="227"/>
      <c r="C3" s="227"/>
      <c r="D3" s="239"/>
    </row>
    <row r="4" spans="1:4" x14ac:dyDescent="0.3">
      <c r="A4" s="383" t="s">
        <v>166</v>
      </c>
      <c r="B4" s="384"/>
      <c r="C4" s="297"/>
      <c r="D4" s="330" t="s">
        <v>167</v>
      </c>
    </row>
    <row r="5" spans="1:4" ht="6.75" customHeight="1" thickBot="1" x14ac:dyDescent="0.35">
      <c r="A5" s="238"/>
      <c r="B5" s="236"/>
      <c r="C5" s="236"/>
      <c r="D5" s="237"/>
    </row>
    <row r="6" spans="1:4" ht="6.75" customHeight="1" x14ac:dyDescent="0.3">
      <c r="A6" s="231"/>
      <c r="B6" s="233"/>
      <c r="C6" s="231"/>
      <c r="D6" s="234"/>
    </row>
    <row r="7" spans="1:4" ht="29.25" customHeight="1" x14ac:dyDescent="0.3">
      <c r="A7" s="327" t="s">
        <v>80</v>
      </c>
      <c r="B7" s="385"/>
      <c r="C7" s="238" t="s">
        <v>168</v>
      </c>
      <c r="D7" s="386"/>
    </row>
    <row r="8" spans="1:4" ht="19.5" customHeight="1" x14ac:dyDescent="0.3">
      <c r="A8" s="238" t="s">
        <v>169</v>
      </c>
      <c r="B8" s="387" t="s">
        <v>13</v>
      </c>
      <c r="C8" s="238" t="s">
        <v>170</v>
      </c>
      <c r="D8" s="386"/>
    </row>
    <row r="9" spans="1:4" ht="16.5" customHeight="1" thickBot="1" x14ac:dyDescent="0.35">
      <c r="A9" s="238" t="s">
        <v>171</v>
      </c>
      <c r="B9" s="236"/>
      <c r="C9" s="238" t="s">
        <v>172</v>
      </c>
      <c r="D9" s="388"/>
    </row>
    <row r="10" spans="1:4" x14ac:dyDescent="0.3">
      <c r="A10" s="238" t="s">
        <v>173</v>
      </c>
      <c r="B10" s="236"/>
      <c r="C10" s="238" t="s">
        <v>170</v>
      </c>
      <c r="D10" s="389"/>
    </row>
    <row r="11" spans="1:4" ht="6.75" customHeight="1" thickBot="1" x14ac:dyDescent="0.35">
      <c r="A11" s="238"/>
      <c r="B11" s="236"/>
      <c r="C11" s="238"/>
      <c r="D11" s="237"/>
    </row>
    <row r="12" spans="1:4" ht="42" customHeight="1" thickBot="1" x14ac:dyDescent="0.35">
      <c r="A12" s="390" t="s">
        <v>174</v>
      </c>
      <c r="B12" s="306" t="s">
        <v>94</v>
      </c>
      <c r="C12" s="306" t="s">
        <v>93</v>
      </c>
      <c r="D12" s="306" t="s">
        <v>95</v>
      </c>
    </row>
    <row r="13" spans="1:4" x14ac:dyDescent="0.3">
      <c r="A13" s="310">
        <v>1</v>
      </c>
      <c r="B13" s="311"/>
      <c r="C13" s="391"/>
      <c r="D13" s="392"/>
    </row>
    <row r="14" spans="1:4" x14ac:dyDescent="0.3">
      <c r="A14" s="315">
        <f t="shared" ref="A14:A22" si="0">A13+1</f>
        <v>2</v>
      </c>
      <c r="B14" s="311"/>
      <c r="C14" s="391"/>
      <c r="D14" s="392"/>
    </row>
    <row r="15" spans="1:4" x14ac:dyDescent="0.3">
      <c r="A15" s="315">
        <f t="shared" si="0"/>
        <v>3</v>
      </c>
      <c r="B15" s="311"/>
      <c r="C15" s="391"/>
      <c r="D15" s="392"/>
    </row>
    <row r="16" spans="1:4" x14ac:dyDescent="0.3">
      <c r="A16" s="315">
        <f t="shared" si="0"/>
        <v>4</v>
      </c>
      <c r="B16" s="311"/>
      <c r="C16" s="391"/>
      <c r="D16" s="392"/>
    </row>
    <row r="17" spans="1:7" x14ac:dyDescent="0.3">
      <c r="A17" s="315">
        <f t="shared" si="0"/>
        <v>5</v>
      </c>
      <c r="B17" s="311"/>
      <c r="C17" s="391"/>
      <c r="D17" s="392"/>
      <c r="G17" s="393"/>
    </row>
    <row r="18" spans="1:7" x14ac:dyDescent="0.3">
      <c r="A18" s="315">
        <f t="shared" si="0"/>
        <v>6</v>
      </c>
      <c r="B18" s="311"/>
      <c r="C18" s="391"/>
      <c r="D18" s="392"/>
      <c r="G18" s="393"/>
    </row>
    <row r="19" spans="1:7" x14ac:dyDescent="0.3">
      <c r="A19" s="315">
        <f t="shared" si="0"/>
        <v>7</v>
      </c>
      <c r="B19" s="311"/>
      <c r="C19" s="391"/>
      <c r="D19" s="392"/>
      <c r="G19" s="393"/>
    </row>
    <row r="20" spans="1:7" x14ac:dyDescent="0.3">
      <c r="A20" s="315">
        <f t="shared" si="0"/>
        <v>8</v>
      </c>
      <c r="B20" s="311"/>
      <c r="C20" s="391"/>
      <c r="D20" s="392"/>
      <c r="G20" s="393"/>
    </row>
    <row r="21" spans="1:7" s="230" customFormat="1" x14ac:dyDescent="0.3">
      <c r="A21" s="315">
        <f t="shared" si="0"/>
        <v>9</v>
      </c>
      <c r="B21" s="311"/>
      <c r="C21" s="391"/>
      <c r="D21" s="392"/>
      <c r="G21" s="394"/>
    </row>
    <row r="22" spans="1:7" s="230" customFormat="1" x14ac:dyDescent="0.3">
      <c r="A22" s="315">
        <f t="shared" si="0"/>
        <v>10</v>
      </c>
      <c r="B22" s="311"/>
      <c r="C22" s="391"/>
      <c r="D22" s="392"/>
      <c r="G22" s="394"/>
    </row>
    <row r="23" spans="1:7" s="230" customFormat="1" x14ac:dyDescent="0.3">
      <c r="A23" s="315"/>
      <c r="B23" s="311"/>
      <c r="C23" s="391"/>
      <c r="D23" s="392"/>
      <c r="G23" s="394"/>
    </row>
    <row r="24" spans="1:7" s="230" customFormat="1" x14ac:dyDescent="0.3">
      <c r="A24" s="315"/>
      <c r="B24" s="311"/>
      <c r="C24" s="391"/>
      <c r="D24" s="392"/>
      <c r="G24" s="394"/>
    </row>
    <row r="25" spans="1:7" s="230" customFormat="1" x14ac:dyDescent="0.3">
      <c r="A25" s="315"/>
      <c r="B25" s="311"/>
      <c r="C25" s="391"/>
      <c r="D25" s="392"/>
      <c r="G25" s="394"/>
    </row>
    <row r="26" spans="1:7" s="230" customFormat="1" x14ac:dyDescent="0.3">
      <c r="A26" s="315"/>
      <c r="B26" s="311"/>
      <c r="C26" s="391"/>
      <c r="D26" s="392"/>
      <c r="G26" s="394"/>
    </row>
    <row r="27" spans="1:7" s="230" customFormat="1" x14ac:dyDescent="0.3">
      <c r="A27" s="315"/>
      <c r="B27" s="311"/>
      <c r="C27" s="391"/>
      <c r="D27" s="392"/>
      <c r="G27" s="394"/>
    </row>
    <row r="28" spans="1:7" s="230" customFormat="1" x14ac:dyDescent="0.3">
      <c r="A28" s="315"/>
      <c r="B28" s="311"/>
      <c r="C28" s="391"/>
      <c r="D28" s="392"/>
      <c r="G28" s="394"/>
    </row>
    <row r="29" spans="1:7" s="230" customFormat="1" x14ac:dyDescent="0.3">
      <c r="A29" s="315"/>
      <c r="B29" s="311"/>
      <c r="C29" s="391"/>
      <c r="D29" s="392"/>
      <c r="G29" s="394"/>
    </row>
    <row r="30" spans="1:7" s="230" customFormat="1" x14ac:dyDescent="0.3">
      <c r="A30" s="395"/>
      <c r="B30" s="274"/>
      <c r="C30" s="396"/>
      <c r="D30" s="397"/>
      <c r="G30" s="394"/>
    </row>
    <row r="31" spans="1:7" s="230" customFormat="1" x14ac:dyDescent="0.3">
      <c r="A31" s="395"/>
      <c r="B31" s="274"/>
      <c r="C31" s="396"/>
      <c r="D31" s="397"/>
      <c r="G31" s="394"/>
    </row>
    <row r="32" spans="1:7" s="230" customFormat="1" x14ac:dyDescent="0.3">
      <c r="A32" s="395"/>
      <c r="B32" s="274"/>
      <c r="C32" s="396"/>
      <c r="D32" s="397"/>
      <c r="G32" s="394"/>
    </row>
    <row r="33" spans="1:7" s="230" customFormat="1" x14ac:dyDescent="0.3">
      <c r="A33" s="395"/>
      <c r="B33" s="274"/>
      <c r="C33" s="396"/>
      <c r="D33" s="397"/>
      <c r="G33" s="394"/>
    </row>
    <row r="34" spans="1:7" s="230" customFormat="1" x14ac:dyDescent="0.3">
      <c r="A34" s="395"/>
      <c r="B34" s="274"/>
      <c r="C34" s="396"/>
      <c r="D34" s="397"/>
      <c r="G34" s="394"/>
    </row>
    <row r="35" spans="1:7" s="230" customFormat="1" x14ac:dyDescent="0.3">
      <c r="A35" s="395"/>
      <c r="B35" s="274"/>
      <c r="C35" s="396"/>
      <c r="D35" s="397"/>
      <c r="G35" s="394"/>
    </row>
    <row r="36" spans="1:7" ht="15" thickBot="1" x14ac:dyDescent="0.35">
      <c r="A36" s="682" t="s">
        <v>175</v>
      </c>
      <c r="B36" s="683"/>
      <c r="C36" s="684" t="s">
        <v>176</v>
      </c>
      <c r="D36" s="683"/>
    </row>
    <row r="37" spans="1:7" ht="8.25" customHeight="1" x14ac:dyDescent="0.3">
      <c r="A37" s="231"/>
      <c r="B37" s="234"/>
      <c r="C37" s="231"/>
      <c r="D37" s="234"/>
    </row>
    <row r="38" spans="1:7" x14ac:dyDescent="0.3">
      <c r="A38" s="238" t="s">
        <v>177</v>
      </c>
      <c r="B38" s="398"/>
      <c r="C38" s="236" t="s">
        <v>178</v>
      </c>
      <c r="D38" s="399"/>
    </row>
    <row r="39" spans="1:7" x14ac:dyDescent="0.3">
      <c r="A39" s="238"/>
      <c r="B39" s="400"/>
      <c r="C39" s="685"/>
      <c r="D39" s="686"/>
    </row>
    <row r="40" spans="1:7" x14ac:dyDescent="0.3">
      <c r="A40" s="238"/>
      <c r="B40" s="401"/>
      <c r="C40" s="236"/>
      <c r="D40" s="402"/>
    </row>
    <row r="41" spans="1:7" x14ac:dyDescent="0.3">
      <c r="A41" s="238"/>
      <c r="B41" s="328" t="s">
        <v>179</v>
      </c>
      <c r="C41" s="236" t="s">
        <v>180</v>
      </c>
      <c r="D41" s="237"/>
    </row>
    <row r="42" spans="1:7" x14ac:dyDescent="0.3">
      <c r="A42" s="238"/>
      <c r="B42" s="328" t="s">
        <v>181</v>
      </c>
      <c r="C42" s="236"/>
      <c r="D42" s="237"/>
    </row>
    <row r="43" spans="1:7" x14ac:dyDescent="0.3">
      <c r="A43" s="238"/>
      <c r="B43" s="236"/>
      <c r="C43" s="236" t="s">
        <v>182</v>
      </c>
      <c r="D43" s="237"/>
    </row>
    <row r="44" spans="1:7" x14ac:dyDescent="0.3">
      <c r="A44" s="238"/>
      <c r="B44" s="236"/>
      <c r="C44" s="236"/>
      <c r="D44" s="237"/>
    </row>
    <row r="45" spans="1:7" x14ac:dyDescent="0.3">
      <c r="A45" s="238"/>
      <c r="C45" s="236"/>
      <c r="D45" s="237"/>
    </row>
    <row r="46" spans="1:7" x14ac:dyDescent="0.3">
      <c r="A46" s="687" t="s">
        <v>161</v>
      </c>
      <c r="B46" s="572"/>
      <c r="C46" s="580" t="s">
        <v>144</v>
      </c>
      <c r="D46" s="581"/>
    </row>
    <row r="47" spans="1:7" x14ac:dyDescent="0.3">
      <c r="A47" s="677" t="s">
        <v>183</v>
      </c>
      <c r="B47" s="584"/>
      <c r="C47" s="678" t="s">
        <v>184</v>
      </c>
      <c r="D47" s="679"/>
    </row>
    <row r="48" spans="1:7" ht="15" thickBot="1" x14ac:dyDescent="0.35">
      <c r="A48" s="244"/>
      <c r="B48" s="245"/>
      <c r="C48" s="245"/>
      <c r="D48" s="247"/>
    </row>
    <row r="49" spans="1:4" x14ac:dyDescent="0.3">
      <c r="A49" s="297"/>
      <c r="B49" s="403"/>
      <c r="C49" s="236"/>
      <c r="D49" s="236"/>
    </row>
    <row r="50" spans="1:4" x14ac:dyDescent="0.3">
      <c r="A50" s="584"/>
      <c r="B50" s="584"/>
      <c r="C50" s="236"/>
      <c r="D50" s="236"/>
    </row>
    <row r="51" spans="1:4" x14ac:dyDescent="0.3">
      <c r="A51" s="236"/>
      <c r="B51" s="236"/>
      <c r="C51" s="236"/>
      <c r="D51" s="236"/>
    </row>
    <row r="52" spans="1:4" x14ac:dyDescent="0.3">
      <c r="A52" s="236"/>
      <c r="B52" s="236"/>
      <c r="C52" s="236"/>
      <c r="D52" s="236"/>
    </row>
    <row r="53" spans="1:4" x14ac:dyDescent="0.3">
      <c r="A53" s="236"/>
      <c r="B53" s="236"/>
      <c r="C53" s="236"/>
      <c r="D53" s="236"/>
    </row>
    <row r="54" spans="1:4" x14ac:dyDescent="0.3">
      <c r="A54" s="236"/>
      <c r="B54" s="236"/>
      <c r="C54" s="236"/>
      <c r="D54" s="236"/>
    </row>
    <row r="55" spans="1:4" x14ac:dyDescent="0.3">
      <c r="A55" s="236"/>
      <c r="B55" s="236"/>
      <c r="C55" s="236"/>
      <c r="D55" s="236"/>
    </row>
  </sheetData>
  <mergeCells count="9">
    <mergeCell ref="A47:B47"/>
    <mergeCell ref="C47:D47"/>
    <mergeCell ref="A50:B50"/>
    <mergeCell ref="A2:D2"/>
    <mergeCell ref="A36:B36"/>
    <mergeCell ref="C36:D36"/>
    <mergeCell ref="C39:D39"/>
    <mergeCell ref="A46:B46"/>
    <mergeCell ref="C46:D46"/>
  </mergeCells>
  <pageMargins left="0.7" right="0.7" top="0.75" bottom="0.75" header="0.3" footer="0.3"/>
  <pageSetup paperSize="9" scale="8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F140-D08D-43CC-B283-F3C808EE9CE4}">
  <sheetPr>
    <tabColor rgb="FF00B050"/>
  </sheetPr>
  <dimension ref="A1:K41"/>
  <sheetViews>
    <sheetView view="pageBreakPreview" zoomScale="101" zoomScaleNormal="100" zoomScaleSheetLayoutView="130" workbookViewId="0">
      <selection activeCell="P9" sqref="P9:S10"/>
    </sheetView>
  </sheetViews>
  <sheetFormatPr defaultColWidth="9.109375" defaultRowHeight="14.4" x14ac:dyDescent="0.3"/>
  <cols>
    <col min="1" max="1" width="6.5546875" style="296" customWidth="1"/>
    <col min="2" max="2" width="6" style="296" customWidth="1"/>
    <col min="3" max="3" width="25.33203125" style="296" customWidth="1"/>
    <col min="4" max="4" width="9.109375" style="296" customWidth="1"/>
    <col min="5" max="5" width="8" style="296" customWidth="1"/>
    <col min="6" max="6" width="8.5546875" style="296" customWidth="1"/>
    <col min="7" max="7" width="9.44140625" style="296" customWidth="1"/>
    <col min="8" max="8" width="22.109375" style="296" customWidth="1"/>
    <col min="9" max="10" width="9.109375" style="296"/>
    <col min="11" max="11" width="9.109375" style="405"/>
    <col min="12" max="13" width="9.109375" style="296"/>
    <col min="14" max="14" width="17.88671875" style="296" customWidth="1"/>
    <col min="15" max="16384" width="9.109375" style="296"/>
  </cols>
  <sheetData>
    <row r="1" spans="1:11" x14ac:dyDescent="0.3">
      <c r="A1" s="236"/>
      <c r="B1" s="236"/>
      <c r="C1" s="236"/>
      <c r="D1" s="236"/>
      <c r="E1" s="236"/>
      <c r="F1" s="236"/>
      <c r="G1" s="236"/>
      <c r="H1" s="404" t="s">
        <v>185</v>
      </c>
    </row>
    <row r="2" spans="1:11" ht="15.6" x14ac:dyDescent="0.3">
      <c r="A2" s="640" t="s">
        <v>186</v>
      </c>
      <c r="B2" s="640"/>
      <c r="C2" s="640"/>
      <c r="D2" s="640"/>
      <c r="E2" s="640"/>
      <c r="F2" s="640"/>
      <c r="G2" s="640"/>
      <c r="H2" s="640"/>
    </row>
    <row r="3" spans="1:11" x14ac:dyDescent="0.3">
      <c r="A3" s="227"/>
      <c r="B3" s="227"/>
      <c r="C3" s="227"/>
      <c r="D3" s="227"/>
      <c r="E3" s="227"/>
      <c r="F3" s="227"/>
      <c r="G3" s="227"/>
      <c r="H3" s="227"/>
    </row>
    <row r="4" spans="1:11" ht="15" thickBot="1" x14ac:dyDescent="0.35">
      <c r="A4" s="406" t="s">
        <v>187</v>
      </c>
      <c r="B4" s="407"/>
      <c r="C4" s="384"/>
      <c r="D4" s="384"/>
      <c r="E4" s="384"/>
      <c r="F4" s="384"/>
      <c r="G4" s="328" t="s">
        <v>167</v>
      </c>
    </row>
    <row r="5" spans="1:11" ht="19.5" customHeight="1" x14ac:dyDescent="0.3">
      <c r="A5" s="231" t="s">
        <v>188</v>
      </c>
      <c r="B5" s="233"/>
      <c r="C5" s="700" t="s">
        <v>189</v>
      </c>
      <c r="D5" s="700"/>
      <c r="E5" s="701"/>
      <c r="F5" s="408" t="s">
        <v>190</v>
      </c>
      <c r="G5" s="409"/>
      <c r="H5" s="410"/>
    </row>
    <row r="6" spans="1:11" ht="31.8" customHeight="1" thickBot="1" x14ac:dyDescent="0.35">
      <c r="A6" s="702" t="s">
        <v>191</v>
      </c>
      <c r="B6" s="703"/>
      <c r="C6" s="704" t="s">
        <v>192</v>
      </c>
      <c r="D6" s="704"/>
      <c r="E6" s="705"/>
      <c r="F6" s="411" t="s">
        <v>193</v>
      </c>
      <c r="G6" s="412"/>
      <c r="H6" s="413"/>
    </row>
    <row r="7" spans="1:11" ht="26.25" customHeight="1" thickBot="1" x14ac:dyDescent="0.35">
      <c r="A7" s="706" t="s">
        <v>194</v>
      </c>
      <c r="B7" s="707"/>
      <c r="C7" s="707"/>
      <c r="D7" s="708"/>
      <c r="E7" s="706" t="s">
        <v>195</v>
      </c>
      <c r="F7" s="708"/>
      <c r="G7" s="706" t="s">
        <v>196</v>
      </c>
      <c r="H7" s="708"/>
    </row>
    <row r="8" spans="1:11" ht="29.25" customHeight="1" x14ac:dyDescent="0.3">
      <c r="A8" s="414" t="s">
        <v>92</v>
      </c>
      <c r="B8" s="415" t="s">
        <v>93</v>
      </c>
      <c r="C8" s="416" t="s">
        <v>94</v>
      </c>
      <c r="D8" s="417" t="s">
        <v>95</v>
      </c>
      <c r="E8" s="416" t="s">
        <v>197</v>
      </c>
      <c r="F8" s="418" t="s">
        <v>198</v>
      </c>
      <c r="G8" s="416" t="s">
        <v>95</v>
      </c>
      <c r="H8" s="418" t="s">
        <v>199</v>
      </c>
    </row>
    <row r="9" spans="1:11" x14ac:dyDescent="0.3">
      <c r="A9" s="419">
        <v>1</v>
      </c>
      <c r="B9" s="222"/>
      <c r="C9" s="222"/>
      <c r="D9" s="222"/>
      <c r="E9" s="420"/>
      <c r="F9" s="222"/>
      <c r="G9" s="222"/>
      <c r="H9" s="421"/>
    </row>
    <row r="10" spans="1:11" x14ac:dyDescent="0.3">
      <c r="A10" s="419">
        <v>2</v>
      </c>
      <c r="B10" s="222"/>
      <c r="C10" s="222"/>
      <c r="D10" s="222"/>
      <c r="E10" s="422"/>
      <c r="F10" s="222"/>
      <c r="G10" s="222"/>
      <c r="H10" s="421"/>
    </row>
    <row r="11" spans="1:11" x14ac:dyDescent="0.3">
      <c r="A11" s="419">
        <v>3</v>
      </c>
      <c r="B11" s="222"/>
      <c r="C11" s="222"/>
      <c r="D11" s="222"/>
      <c r="E11" s="422"/>
      <c r="F11" s="222"/>
      <c r="G11" s="222"/>
      <c r="H11" s="421"/>
    </row>
    <row r="12" spans="1:11" s="195" customFormat="1" x14ac:dyDescent="0.3">
      <c r="A12" s="419">
        <v>4</v>
      </c>
      <c r="B12" s="222"/>
      <c r="C12" s="222"/>
      <c r="D12" s="222"/>
      <c r="E12" s="423"/>
      <c r="F12" s="222"/>
      <c r="G12" s="222"/>
      <c r="H12" s="421"/>
      <c r="K12" s="424"/>
    </row>
    <row r="13" spans="1:11" s="195" customFormat="1" x14ac:dyDescent="0.3">
      <c r="A13" s="419">
        <v>5</v>
      </c>
      <c r="B13" s="222"/>
      <c r="C13" s="222"/>
      <c r="D13" s="222"/>
      <c r="E13" s="423"/>
      <c r="F13" s="222"/>
      <c r="G13" s="222"/>
      <c r="H13" s="421"/>
      <c r="K13" s="424"/>
    </row>
    <row r="14" spans="1:11" s="195" customFormat="1" x14ac:dyDescent="0.3">
      <c r="A14" s="419">
        <v>6</v>
      </c>
      <c r="B14" s="222"/>
      <c r="C14" s="222"/>
      <c r="D14" s="222"/>
      <c r="E14" s="423"/>
      <c r="F14" s="222"/>
      <c r="G14" s="222"/>
      <c r="H14" s="421"/>
      <c r="K14" s="424"/>
    </row>
    <row r="15" spans="1:11" s="195" customFormat="1" x14ac:dyDescent="0.3">
      <c r="A15" s="419">
        <v>7</v>
      </c>
      <c r="B15" s="222"/>
      <c r="C15" s="222"/>
      <c r="D15" s="222"/>
      <c r="E15" s="423"/>
      <c r="F15" s="222"/>
      <c r="G15" s="222"/>
      <c r="H15" s="421"/>
      <c r="K15" s="424"/>
    </row>
    <row r="16" spans="1:11" s="195" customFormat="1" x14ac:dyDescent="0.3">
      <c r="A16" s="419">
        <v>8</v>
      </c>
      <c r="B16" s="222"/>
      <c r="C16" s="222"/>
      <c r="D16" s="222"/>
      <c r="E16" s="423"/>
      <c r="F16" s="222"/>
      <c r="G16" s="222"/>
      <c r="H16" s="421"/>
      <c r="K16" s="424"/>
    </row>
    <row r="17" spans="1:11" s="195" customFormat="1" x14ac:dyDescent="0.3">
      <c r="A17" s="419">
        <v>9</v>
      </c>
      <c r="B17" s="222"/>
      <c r="C17" s="222"/>
      <c r="D17" s="222"/>
      <c r="E17" s="423"/>
      <c r="F17" s="222"/>
      <c r="G17" s="222"/>
      <c r="H17" s="421"/>
      <c r="K17" s="424"/>
    </row>
    <row r="18" spans="1:11" s="195" customFormat="1" x14ac:dyDescent="0.3">
      <c r="A18" s="419">
        <v>10</v>
      </c>
      <c r="B18" s="222"/>
      <c r="C18" s="222"/>
      <c r="D18" s="222"/>
      <c r="E18" s="423"/>
      <c r="F18" s="222"/>
      <c r="G18" s="222"/>
      <c r="H18" s="421"/>
      <c r="K18" s="424"/>
    </row>
    <row r="19" spans="1:11" s="195" customFormat="1" x14ac:dyDescent="0.3">
      <c r="A19" s="318"/>
      <c r="B19" s="222"/>
      <c r="C19" s="222"/>
      <c r="D19" s="222"/>
      <c r="E19" s="423"/>
      <c r="F19" s="222"/>
      <c r="G19" s="222"/>
      <c r="H19" s="421"/>
      <c r="K19" s="424"/>
    </row>
    <row r="20" spans="1:11" s="195" customFormat="1" x14ac:dyDescent="0.3">
      <c r="A20" s="318"/>
      <c r="B20" s="222"/>
      <c r="C20" s="222"/>
      <c r="D20" s="222"/>
      <c r="E20" s="423"/>
      <c r="F20" s="222"/>
      <c r="G20" s="222"/>
      <c r="H20" s="421"/>
      <c r="K20" s="424"/>
    </row>
    <row r="21" spans="1:11" s="195" customFormat="1" x14ac:dyDescent="0.3">
      <c r="A21" s="318"/>
      <c r="B21" s="222"/>
      <c r="C21" s="222"/>
      <c r="D21" s="222"/>
      <c r="E21" s="423"/>
      <c r="F21" s="222"/>
      <c r="G21" s="222"/>
      <c r="H21" s="421"/>
      <c r="K21" s="424"/>
    </row>
    <row r="22" spans="1:11" x14ac:dyDescent="0.3">
      <c r="A22" s="318"/>
      <c r="B22" s="285"/>
      <c r="C22" s="226"/>
      <c r="D22" s="285"/>
      <c r="E22" s="423"/>
      <c r="F22" s="222"/>
      <c r="G22" s="222"/>
      <c r="H22" s="421"/>
    </row>
    <row r="23" spans="1:11" x14ac:dyDescent="0.3">
      <c r="A23" s="318"/>
      <c r="B23" s="285"/>
      <c r="C23" s="226"/>
      <c r="D23" s="285"/>
      <c r="E23" s="423"/>
      <c r="F23" s="222"/>
      <c r="G23" s="222"/>
      <c r="H23" s="421"/>
    </row>
    <row r="24" spans="1:11" x14ac:dyDescent="0.3">
      <c r="A24" s="318"/>
      <c r="B24" s="285"/>
      <c r="C24" s="311"/>
      <c r="D24" s="285"/>
      <c r="E24" s="423"/>
      <c r="F24" s="222"/>
      <c r="G24" s="222"/>
      <c r="H24" s="421"/>
    </row>
    <row r="25" spans="1:11" x14ac:dyDescent="0.3">
      <c r="A25" s="318"/>
      <c r="B25" s="285"/>
      <c r="C25" s="311"/>
      <c r="D25" s="285"/>
      <c r="E25" s="423"/>
      <c r="F25" s="222"/>
      <c r="G25" s="222"/>
      <c r="H25" s="421"/>
    </row>
    <row r="26" spans="1:11" x14ac:dyDescent="0.3">
      <c r="A26" s="318"/>
      <c r="B26" s="425"/>
      <c r="C26" s="426"/>
      <c r="D26" s="425"/>
      <c r="E26" s="423"/>
      <c r="F26" s="285"/>
      <c r="G26" s="427"/>
      <c r="H26" s="428"/>
    </row>
    <row r="27" spans="1:11" x14ac:dyDescent="0.3">
      <c r="A27" s="318"/>
      <c r="B27" s="285"/>
      <c r="C27" s="226"/>
      <c r="D27" s="285"/>
      <c r="E27" s="423"/>
      <c r="F27" s="285"/>
      <c r="G27" s="427"/>
      <c r="H27" s="428"/>
    </row>
    <row r="28" spans="1:11" x14ac:dyDescent="0.3">
      <c r="A28" s="318"/>
      <c r="B28" s="285"/>
      <c r="C28" s="226"/>
      <c r="D28" s="285"/>
      <c r="E28" s="423"/>
      <c r="F28" s="285"/>
      <c r="G28" s="427"/>
      <c r="H28" s="428"/>
    </row>
    <row r="29" spans="1:11" x14ac:dyDescent="0.3">
      <c r="A29" s="318"/>
      <c r="B29" s="285"/>
      <c r="C29" s="226"/>
      <c r="D29" s="285"/>
      <c r="E29" s="423"/>
      <c r="F29" s="285"/>
      <c r="G29" s="427"/>
      <c r="H29" s="428"/>
    </row>
    <row r="30" spans="1:11" x14ac:dyDescent="0.3">
      <c r="A30" s="382"/>
      <c r="B30" s="194"/>
      <c r="C30" s="429"/>
      <c r="D30" s="329"/>
      <c r="E30" s="429"/>
      <c r="F30" s="329"/>
      <c r="G30" s="329"/>
      <c r="H30" s="430"/>
    </row>
    <row r="31" spans="1:11" x14ac:dyDescent="0.3">
      <c r="A31" s="677" t="s">
        <v>140</v>
      </c>
      <c r="B31" s="584"/>
      <c r="C31" s="629"/>
      <c r="D31" s="629"/>
      <c r="E31" s="629"/>
      <c r="F31" s="629"/>
      <c r="G31" s="629"/>
      <c r="H31" s="695"/>
      <c r="K31" s="296"/>
    </row>
    <row r="32" spans="1:11" x14ac:dyDescent="0.3">
      <c r="A32" s="431"/>
      <c r="B32" s="432"/>
      <c r="C32" s="696"/>
      <c r="D32" s="696"/>
      <c r="E32" s="696"/>
      <c r="F32" s="696"/>
      <c r="G32" s="696"/>
      <c r="H32" s="433"/>
      <c r="K32" s="296"/>
    </row>
    <row r="33" spans="1:11" ht="15" thickBot="1" x14ac:dyDescent="0.35">
      <c r="A33" s="682"/>
      <c r="B33" s="697"/>
      <c r="C33" s="697"/>
      <c r="D33" s="697"/>
      <c r="E33" s="697"/>
      <c r="F33" s="697"/>
      <c r="G33" s="697"/>
      <c r="H33" s="683"/>
    </row>
    <row r="34" spans="1:11" ht="44.25" customHeight="1" x14ac:dyDescent="0.3">
      <c r="A34" s="698" t="s">
        <v>57</v>
      </c>
      <c r="B34" s="632"/>
      <c r="C34" s="434" t="s">
        <v>141</v>
      </c>
      <c r="D34" s="699" t="s">
        <v>142</v>
      </c>
      <c r="E34" s="699"/>
      <c r="F34" s="699" t="s">
        <v>200</v>
      </c>
      <c r="G34" s="699"/>
      <c r="H34" s="435" t="s">
        <v>201</v>
      </c>
    </row>
    <row r="35" spans="1:11" ht="22.5" customHeight="1" x14ac:dyDescent="0.3">
      <c r="A35" s="692" t="s">
        <v>72</v>
      </c>
      <c r="B35" s="637"/>
      <c r="C35" s="436" t="s">
        <v>202</v>
      </c>
      <c r="D35" s="693" t="s">
        <v>25</v>
      </c>
      <c r="E35" s="694"/>
      <c r="F35" s="693" t="s">
        <v>144</v>
      </c>
      <c r="G35" s="694"/>
      <c r="H35" s="438" t="s">
        <v>161</v>
      </c>
      <c r="I35" s="241"/>
    </row>
    <row r="36" spans="1:11" ht="17.399999999999999" customHeight="1" x14ac:dyDescent="0.3">
      <c r="A36" s="692" t="s">
        <v>203</v>
      </c>
      <c r="B36" s="637"/>
      <c r="C36" s="437" t="s">
        <v>204</v>
      </c>
      <c r="D36" s="694" t="s">
        <v>26</v>
      </c>
      <c r="E36" s="694"/>
      <c r="F36" s="694" t="s">
        <v>205</v>
      </c>
      <c r="G36" s="694"/>
      <c r="H36" s="439" t="s">
        <v>183</v>
      </c>
      <c r="I36" s="241"/>
    </row>
    <row r="37" spans="1:11" s="442" customFormat="1" ht="25.5" customHeight="1" thickBot="1" x14ac:dyDescent="0.35">
      <c r="A37" s="688" t="s">
        <v>13</v>
      </c>
      <c r="B37" s="689"/>
      <c r="C37" s="440"/>
      <c r="D37" s="690"/>
      <c r="E37" s="691"/>
      <c r="F37" s="690"/>
      <c r="G37" s="691"/>
      <c r="H37" s="441"/>
      <c r="K37" s="443"/>
    </row>
    <row r="38" spans="1:11" x14ac:dyDescent="0.3">
      <c r="A38" s="236"/>
      <c r="B38" s="236"/>
      <c r="C38" s="236"/>
      <c r="D38" s="236"/>
      <c r="E38" s="236"/>
      <c r="F38" s="236"/>
      <c r="G38" s="236"/>
      <c r="H38" s="236"/>
    </row>
    <row r="39" spans="1:11" x14ac:dyDescent="0.3">
      <c r="A39" s="236"/>
      <c r="B39" s="236"/>
      <c r="C39" s="236"/>
      <c r="D39" s="236"/>
      <c r="E39" s="236"/>
      <c r="F39" s="236"/>
      <c r="G39" s="236"/>
      <c r="H39" s="236"/>
    </row>
    <row r="40" spans="1:11" x14ac:dyDescent="0.3">
      <c r="A40" s="236"/>
      <c r="B40" s="236"/>
      <c r="C40" s="236"/>
      <c r="D40" s="236"/>
      <c r="E40" s="236"/>
      <c r="F40" s="236"/>
      <c r="G40" s="236"/>
      <c r="H40" s="236"/>
    </row>
    <row r="41" spans="1:11" x14ac:dyDescent="0.3">
      <c r="A41" s="236"/>
      <c r="B41" s="236"/>
      <c r="C41" s="236"/>
      <c r="D41" s="236"/>
      <c r="E41" s="236"/>
      <c r="F41" s="236"/>
      <c r="G41" s="236"/>
      <c r="H41" s="236"/>
    </row>
  </sheetData>
  <mergeCells count="23">
    <mergeCell ref="A2:H2"/>
    <mergeCell ref="C5:E5"/>
    <mergeCell ref="A6:B6"/>
    <mergeCell ref="C6:E6"/>
    <mergeCell ref="A7:D7"/>
    <mergeCell ref="E7:F7"/>
    <mergeCell ref="G7:H7"/>
    <mergeCell ref="A31:B31"/>
    <mergeCell ref="C31:H31"/>
    <mergeCell ref="C32:G32"/>
    <mergeCell ref="A33:H33"/>
    <mergeCell ref="A34:B34"/>
    <mergeCell ref="D34:E34"/>
    <mergeCell ref="F34:G34"/>
    <mergeCell ref="A37:B37"/>
    <mergeCell ref="D37:E37"/>
    <mergeCell ref="F37:G37"/>
    <mergeCell ref="A35:B35"/>
    <mergeCell ref="D35:E35"/>
    <mergeCell ref="F35:G35"/>
    <mergeCell ref="A36:B36"/>
    <mergeCell ref="D36:E36"/>
    <mergeCell ref="F36:G36"/>
  </mergeCells>
  <printOptions horizontalCentered="1"/>
  <pageMargins left="0.118110236220472" right="0.11811023622047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DV</vt:lpstr>
      <vt:lpstr>PO</vt:lpstr>
      <vt:lpstr>CANVASS</vt:lpstr>
      <vt:lpstr>PR-A&amp;m</vt:lpstr>
      <vt:lpstr>AOQ</vt:lpstr>
      <vt:lpstr>IAR</vt:lpstr>
      <vt:lpstr>RIS</vt:lpstr>
      <vt:lpstr>AOQ!Print_Area</vt:lpstr>
      <vt:lpstr>DV!Print_Area</vt:lpstr>
      <vt:lpstr>PO!Print_Area</vt:lpstr>
      <vt:lpstr>'PR-A&amp;m'!Print_Area</vt:lpstr>
      <vt:lpstr>RIS!Print_Area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Amadelle Cafugauan</dc:creator>
  <cp:lastModifiedBy>june prodigo</cp:lastModifiedBy>
  <dcterms:created xsi:type="dcterms:W3CDTF">2026-10-17T06:11:14Z</dcterms:created>
  <dcterms:modified xsi:type="dcterms:W3CDTF">2026-10-26T12:18:51Z</dcterms:modified>
</cp:coreProperties>
</file>